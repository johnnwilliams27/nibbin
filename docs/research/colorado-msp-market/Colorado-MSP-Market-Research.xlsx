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List" sheetId="1" state="visible" r:id="rId3"/>
    <sheet name="Small Shops (Roll-up)" sheetId="2" state="visible" r:id="rId4"/>
    <sheet name="Acquirers" sheetId="3" state="visible" r:id="rId5"/>
    <sheet name="Precedent Deals" sheetId="4" state="visible" r:id="rId6"/>
    <sheet name="Excluded &amp; Out of Market" sheetId="5" state="visible" r:id="rId7"/>
    <sheet name="Method" sheetId="6" state="visible" r:id="rId8"/>
  </sheets>
  <definedNames>
    <definedName function="false" hidden="true" localSheetId="2" name="_xlnm._FilterDatabase" vbProcedure="false">Acquirers!$A$1:$I$20</definedName>
    <definedName function="false" hidden="true" localSheetId="1" name="_xlnm._FilterDatabase" vbProcedure="false">'Small Shops (Roll-up)'!$A$1:$L$34</definedName>
    <definedName function="false" hidden="true" localSheetId="0" name="_xlnm._FilterDatabase" vbProcedure="false">'Target List'!$A$1:$V$56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<sst xmlns="http://schemas.openxmlformats.org/spreadsheetml/2006/main" count="1320" uniqueCount="1044">
  <si>
    <t xml:space="preserve">Tier</t>
  </si>
  <si>
    <t xml:space="preserve">Company</t>
  </si>
  <si>
    <t xml:space="preserve">Website</t>
  </si>
  <si>
    <t xml:space="preserve">HQ / Location</t>
  </si>
  <si>
    <t xml:space="preserve">Founded</t>
  </si>
  <si>
    <t xml:space="preserve">Yrs</t>
  </si>
  <si>
    <t xml:space="preserve">Emp (low)</t>
  </si>
  <si>
    <t xml:space="preserve">Emp (high)</t>
  </si>
  <si>
    <t xml:space="preserve">Employee source</t>
  </si>
  <si>
    <t xml:space="preserve">Est. rev low ($M)</t>
  </si>
  <si>
    <t xml:space="preserve">Est. rev high ($M)</t>
  </si>
  <si>
    <t xml:space="preserve">Est. sale price low ($M)</t>
  </si>
  <si>
    <t xml:space="preserve">Est. sale price high ($M)</t>
  </si>
  <si>
    <t xml:space="preserve">3rd-party rev est.</t>
  </si>
  <si>
    <t xml:space="preserve">Ownership</t>
  </si>
  <si>
    <t xml:space="preserve">Owner / principal</t>
  </si>
  <si>
    <t xml:space="preserve">Sale signal</t>
  </si>
  <si>
    <t xml:space="preserve">Signal basis (inference unless noted)</t>
  </si>
  <si>
    <t xml:space="preserve">Clients (stated)</t>
  </si>
  <si>
    <t xml:space="preserve">Services focus</t>
  </si>
  <si>
    <t xml:space="preserve">Rating (reviews)</t>
  </si>
  <si>
    <t xml:space="preserve">Notes / data conflicts</t>
  </si>
  <si>
    <t xml:space="preserve">A</t>
  </si>
  <si>
    <t xml:space="preserve">ICC — Integrated Computer Consulting</t>
  </si>
  <si>
    <t xml:space="preserve">Fort Collins</t>
  </si>
  <si>
    <t xml:space="preserve">Verified direct count of team page</t>
  </si>
  <si>
    <t xml:space="preserve">Owner-operated, independent</t>
  </si>
  <si>
    <t xml:space="preserve">Kirk Bane (President &amp; CEO)</t>
  </si>
  <si>
    <t xml:space="preserve">High</t>
  </si>
  <si>
    <t xml:space="preserve">28-yr firm, same CEO; unusually deep VP bench (3 sales VPs + VP Fin + VP Ops) suggests either professionalizing or prepping to sell</t>
  </si>
  <si>
    <t xml:space="preserve">160+ clients (verified)</t>
  </si>
  <si>
    <t xml:space="preserve">MSP + cybersecurity; dental, mfg, healthcare, legal, accounting; 10-50 employee target clients in CO/WY</t>
  </si>
  <si>
    <t xml:space="preserve">5.0 (17-23 reviews)</t>
  </si>
  <si>
    <t xml:space="preserve">Strongest inference-based target in Northern Colorado</t>
  </si>
  <si>
    <t xml:space="preserve">InfiNet Computer Solutions</t>
  </si>
  <si>
    <t xml:space="preserve">Directory &lt;25; self-described small team</t>
  </si>
  <si>
    <t xml:space="preserve">Owner-operated</t>
  </si>
  <si>
    <t xml:space="preserve">Tad Osborn (President) — "same ownership since 1998" per directory language</t>
  </si>
  <si>
    <t xml:space="preserve">28 unbroken years under one president; marketing leans on longevity/retention not growth; unmodernized service mix (web hosting, domain registration) = low reinvestment</t>
  </si>
  <si>
    <t xml:space="preserve">Two-decade client tenures cited</t>
  </si>
  <si>
    <t xml:space="preserve">MSP + cybersecurity, server admin, web hosting/design, database consulting, VPS — legacy-era service sprawl</t>
  </si>
  <si>
    <t xml:space="preserve">Strongest EXPLICIT succession signal found; verify headcount vs floor</t>
  </si>
  <si>
    <t xml:space="preserve">Pro-IS (Professional Information Services)</t>
  </si>
  <si>
    <t xml:space="preserve">Unverified — absent from Clutch FC table; est. only</t>
  </si>
  <si>
    <t xml:space="preserve">Josh Orrison (Owner &amp; CEO, Forbes Technology Council)</t>
  </si>
  <si>
    <t xml:space="preserve">Moderate</t>
  </si>
  <si>
    <t xml:space="preserve">28-yr firm, single named owner, notably under-documented publicly — high information-asymmetry opportunity</t>
  </si>
  <si>
    <t xml:space="preserve">General MSP; positions toward mid-large CO businesses</t>
  </si>
  <si>
    <t xml:space="preserve">Priority direct-outreach target precisely because so little is public</t>
  </si>
  <si>
    <t xml:space="preserve">DCNC, Inc.</t>
  </si>
  <si>
    <t xml:space="preserve">Denver (N Broadway)</t>
  </si>
  <si>
    <t xml:space="preserve">MSP Companies directory</t>
  </si>
  <si>
    <t xml:space="preserve">Owner-operated, privately held</t>
  </si>
  <si>
    <t xml:space="preserve">John C. Hardon (President); Derek Burnham (VP)</t>
  </si>
  <si>
    <t xml:space="preserve">28 years, oldest independent owner-operated firm in core Denver dataset; small stable headcount, unchanged two-person leadership — textbook succession-risk profile</t>
  </si>
  <si>
    <t xml:space="preserve">General MSP — outsourced IT, cybersecurity, cloud, networking, software dev, backup/DR</t>
  </si>
  <si>
    <t xml:space="preserve">32 reviews (Birdeye)</t>
  </si>
  <si>
    <t xml:space="preserve">No confirmed website domain found; verify via BBB/LinkedIn</t>
  </si>
  <si>
    <t xml:space="preserve">Business Network Consulting (BNC)</t>
  </si>
  <si>
    <t xml:space="preserve">Denver</t>
  </si>
  <si>
    <t xml:space="preserve">Clutch 10-49; DesignRush &lt;49 — wide band</t>
  </si>
  <si>
    <t xml:space="preserve">Owner-operated, founder-led</t>
  </si>
  <si>
    <t xml:space="preserve">Joe Kelly (CEO &amp; Founder)</t>
  </si>
  <si>
    <t xml:space="preserve">29 years, ORIGINAL FOUNDER still sitting CEO — one of the strongest founder-tenure signals in Denver; multi-state footprint built by acquisition (TX 2007) makes it a plausible platform sale</t>
  </si>
  <si>
    <t xml:space="preserve">IT outsourcing, cloud/M365, cybersecurity/compliance, staff aug, 24/7 helpdesk, AI consulting; Denver/Dallas/Austin/Ft Lauderdale</t>
  </si>
  <si>
    <t xml:space="preserve">5.0 (2 Clutch); 5.0 (16 DesignRush)</t>
  </si>
  <si>
    <t xml:space="preserve">'Top 100 privately-held CO companies' claim unverified</t>
  </si>
  <si>
    <t xml:space="preserve">GrahamGolden Technologies</t>
  </si>
  <si>
    <t xml:space="preserve">RocketReach (Oct 2025), incl. offshore staff</t>
  </si>
  <si>
    <t xml:space="preserve">Owner-operated, two-partner</t>
  </si>
  <si>
    <t xml:space="preserve">Ralph Graham &amp; Jeremy Golden (co-founding partners)</t>
  </si>
  <si>
    <t xml:space="preserve">25 yrs, BOTH original founders still in seat; cited '35 combined years experience' at founding implies an older founder cohort now</t>
  </si>
  <si>
    <t xml:space="preserve">Named clients: Chipotle, SmartWool, Vail Resorts</t>
  </si>
  <si>
    <t xml:space="preserve">Network/server design &amp; support, virtualization, VoIP; SMB + enterprise</t>
  </si>
  <si>
    <t xml:space="preserve">Offshore component may lower true rev/employee</t>
  </si>
  <si>
    <t xml:space="preserve">Anchor Network Solutions</t>
  </si>
  <si>
    <t xml:space="preserve">Englewood (DTC/Inverness)</t>
  </si>
  <si>
    <t xml:space="preserve">~30 staff per directory sweep; company site headcount not disclosed — verify</t>
  </si>
  <si>
    <t xml:space="preserve">Vince Tinnirello (founder, Managing Director)</t>
  </si>
  <si>
    <t xml:space="preserve">24 yrs, founder still principal but title is 'Managing Director' not CEO, plus a LinkedIn 'Business Development' descriptor — may indicate step-back from day-to-day ops (inference from title only)</t>
  </si>
  <si>
    <t xml:space="preserve">IT consulting, strategic technology advisory, systems maintenance; Denver metro + NW Kansas</t>
  </si>
  <si>
    <t xml:space="preserve">4.9 (77 Google)</t>
  </si>
  <si>
    <t xml:space="preserve">Founder active in MSP-Ignite peer-coaching group; published author/speaker</t>
  </si>
  <si>
    <t xml:space="preserve">Computer Concepts Inc. (CCI)</t>
  </si>
  <si>
    <t xml:space="preserve">DesignRush band 50-99 conflicts sharply with stated footprint (20+ clients) — LOW CONFIDENCE, use with caution</t>
  </si>
  <si>
    <t xml:space="preserve">Privately held; owner not publicly named</t>
  </si>
  <si>
    <t xml:space="preserve">Unknown — not found anywhere in company materials</t>
  </si>
  <si>
    <t xml:space="preserve">35 years — the longest-operating firm in the Denver dataset; owner identity itself unidentified, unusual for a firm this old; small high-value regulated client base is a strong structural succession candidate</t>
  </si>
  <si>
    <t xml:space="preserve">20+ organizations, 15+ countries; 3,456 managed endpoints (verified)</t>
  </si>
  <si>
    <t xml:space="preserve">MSP for regulated industries — healthcare EHR/PACS, financial, insurance, legal; HIPAA/SOX/NIST/CIS compliance</t>
  </si>
  <si>
    <t xml:space="preserve">Headcount band unreliable — verify before using</t>
  </si>
  <si>
    <t xml:space="preserve">Colorado Computer Support (CCS / CCS IT Pros)</t>
  </si>
  <si>
    <t xml:space="preserve">Colorado Springs</t>
  </si>
  <si>
    <t xml:space="preserve">Tracxn (Jul 2026); LinkedIn 11-50</t>
  </si>
  <si>
    <t xml:space="preserve">Blake Schwank (Founder &amp; CEO)</t>
  </si>
  <si>
    <t xml:space="preserve">25 yrs founder-led; SDVOSB certification is a transferable, acquisition-attractive credential</t>
  </si>
  <si>
    <t xml:space="preserve">Strategic IT, help desk, Apple/Mac support, virtualization; DEDICATED Defense Industrial Base practice — DFARS/NIST 800-171/CMMC readiness for Space Force/Peterson/Schriever contractors</t>
  </si>
  <si>
    <t xml:space="preserve">STRONGEST true-MSP defense/CMMC capability in Colorado Springs; do not confuse with 'Custom Computer Specialists' (Hauppauge NY, PE-owned, different company)</t>
  </si>
  <si>
    <t xml:space="preserve">Amnet Inc.</t>
  </si>
  <si>
    <t xml:space="preserve">Colorado Springs (+ Denver office)</t>
  </si>
  <si>
    <t xml:space="preserve">ZoomInfo 46, Jul 2026 — LinkedIn bands conflict 11-50 vs 51-200</t>
  </si>
  <si>
    <t xml:space="preserve">ZoomInfo $89.2M is IMPLAUSIBLE (~$1.9M/employee) — disregard</t>
  </si>
  <si>
    <t xml:space="preserve">Owner-operated, founder-led, independent</t>
  </si>
  <si>
    <t xml:space="preserve">Trevor Dierdorff (Founder &amp; CEO)</t>
  </si>
  <si>
    <t xml:space="preserve">28 yrs founder-led</t>
  </si>
  <si>
    <t xml:space="preserve">Managed IT, cybersecurity, cloud, backup; CJIS + HIPAA certified — local government/law-enforcement niche</t>
  </si>
  <si>
    <t xml:space="preserve">4.9 (58 Google)</t>
  </si>
  <si>
    <t xml:space="preserve">Do not confuse with 'Amnet Systems LLC' of Stamford CT (acquired by Omega Systems/Pfingsten) — different company</t>
  </si>
  <si>
    <t xml:space="preserve">TekMyBiz</t>
  </si>
  <si>
    <t xml:space="preserve">ZoomInfo/LeadIQ, Jun 2025</t>
  </si>
  <si>
    <t xml:space="preserve">Mike Molsen (founder)</t>
  </si>
  <si>
    <t xml:space="preserve">32+ years under the SAME NAMED FOUNDER, still personally identified with the brand — strongest age-based inference in the Colorado Springs dataset</t>
  </si>
  <si>
    <t xml:space="preserve">Managed IT, cybersecurity/compliance, cloud/WVD, backup, VoIP, MDM; small-business generalist</t>
  </si>
  <si>
    <t xml:space="preserve">Second office in Elk Grove Village IL</t>
  </si>
  <si>
    <t xml:space="preserve">Springs Hosting</t>
  </si>
  <si>
    <t xml:space="preserve">LinkedIn band 11-50</t>
  </si>
  <si>
    <t xml:space="preserve">$11.1M (ZoomInfo/Datanyze-class est.) — plausible only if data-center revenue included</t>
  </si>
  <si>
    <t xml:space="preserve">Don Brown (Founder, Owner &amp; CEO)</t>
  </si>
  <si>
    <t xml:space="preserve">20 yrs founder-led; non-founder CIO (Jeremy Keefe) brought in ~5 yrs ago — professionalization pattern often precedes a sale</t>
  </si>
  <si>
    <t xml:space="preserve">Managed IT + OWNS physical data center — colocation, dedicated servers, web/email hosting, VoIP, DR; SSAE16/HIPAA/PCI/UL827</t>
  </si>
  <si>
    <t xml:space="preserve">Rare asset profile: real estate + infra, not a pure MSP — different buyer calculus</t>
  </si>
  <si>
    <t xml:space="preserve">Networks Unlimited, Inc.</t>
  </si>
  <si>
    <t xml:space="preserve">Grand Junction (+ Montrose, Casper WY)</t>
  </si>
  <si>
    <t xml:space="preserve">Company statement: grew from 2 to 35+</t>
  </si>
  <si>
    <t xml:space="preserve">Mark Swain (owner/founder)</t>
  </si>
  <si>
    <t xml:space="preserve">Low</t>
  </si>
  <si>
    <t xml:space="preserve">ITSELF AN ACTIVE ACQUIRER — bought 307 Tech Pros (Casper WY) Sep 2025; behavior of a consolidator, not a seller</t>
  </si>
  <si>
    <t xml:space="preserve">Managed IT, cloud/productivity, cybersecurity/compliance, infrastructure, VoIP; healthcare + regional SMB verticals</t>
  </si>
  <si>
    <t xml:space="preserve">MSP 501, Inc. 5000, Colorado Companies to Watch — largest independent Western Slope MSP; watch as a RIVAL BUYER, not just a target</t>
  </si>
  <si>
    <t xml:space="preserve">Bell Tech Pros</t>
  </si>
  <si>
    <t xml:space="preserve">Montrose (+ Grand Junction, Denver, Phoenix)</t>
  </si>
  <si>
    <t xml:space="preserve">Unverified — est. only</t>
  </si>
  <si>
    <t xml:space="preserve">Joel Bell (owner)</t>
  </si>
  <si>
    <t xml:space="preserve">25+ yrs owner-operated; eponymous brand tied to owner's surname — complicates but also signals founder-identity business</t>
  </si>
  <si>
    <t xml:space="preserve">1,000+ CO businesses served (cumulative marketing claim, not current MRR count)</t>
  </si>
  <si>
    <t xml:space="preserve">MSP, managed security/cloud, VoIP; UNUSUALLY heavy physical security/low-voltage mix — cameras, access control, building security</t>
  </si>
  <si>
    <t xml:space="preserve">Diversified revenue base beyond pure MSP</t>
  </si>
  <si>
    <t xml:space="preserve">Mitchell and Company</t>
  </si>
  <si>
    <t xml:space="preserve">Carbondale + Edwards</t>
  </si>
  <si>
    <t xml:space="preserve">Not published — firm name implies founder surname Mitchell</t>
  </si>
  <si>
    <t xml:space="preserve">30 years operating, eponymous firm name, very broad but thin multi-market coverage — characteristic of a mature owner-operated lifestyle business</t>
  </si>
  <si>
    <t xml:space="preserve">Network technology design, implementation, unified IT infrastructure; exceptionally broad coverage: Aspen to Durango</t>
  </si>
  <si>
    <t xml:space="preserve">Public sector clients across Western Colorado</t>
  </si>
  <si>
    <t xml:space="preserve">Decypher Technologies</t>
  </si>
  <si>
    <t xml:space="preserve">Glenwood Springs (+ Aspen, Vail, Denver, Palm Beach FL)</t>
  </si>
  <si>
    <t xml:space="preserve">Directory band 'fewer than 25'</t>
  </si>
  <si>
    <t xml:space="preserve">Appears independent/private — no PE sponsor found</t>
  </si>
  <si>
    <t xml:space="preserve">Farr Shepherd (CEO); Audrey Burgio (COO); Mick Reilly (CTO)</t>
  </si>
  <si>
    <t xml:space="preserve">Verify</t>
  </si>
  <si>
    <t xml:space="preserve">No retirement signal found — but the BEST-positioned independent asset in the resort corridor</t>
  </si>
  <si>
    <t xml:space="preserve">Managed IT + cybersecurity for luxury residences/family offices/hospitality; Cellular DAS &amp; public-safety comms — genuinely differentiated UHNW niche</t>
  </si>
  <si>
    <t xml:space="preserve">Inc. 5000, CRN, multiple cybersecurity awards; highest-quality independent asset in mountain region</t>
  </si>
  <si>
    <t xml:space="preserve">Northwest Data Services (NDS)</t>
  </si>
  <si>
    <t xml:space="preserve">Steamboat Springs</t>
  </si>
  <si>
    <t xml:space="preserve">ZoomInfo band 11-50 (a conflicting 100-250 figure is implausible for this market, disregard)</t>
  </si>
  <si>
    <t xml:space="preserve">Appears independent, owner-operated</t>
  </si>
  <si>
    <t xml:space="preserve">Jon Quinn (President)</t>
  </si>
  <si>
    <t xml:space="preserve">No retirement signal found — but the ONLY substantial MSP in Steamboat Springs/Routt County; effective regional incumbent with essentially no local competition</t>
  </si>
  <si>
    <t xml:space="preserve">Managed IT, computers/servers/networks/phones/cameras, structured wiring &amp; fiber</t>
  </si>
  <si>
    <t xml:space="preserve">Scarcity value is high — white-space market</t>
  </si>
  <si>
    <t xml:space="preserve">B</t>
  </si>
  <si>
    <t xml:space="preserve">Kenyatta Computer Services (KCS)</t>
  </si>
  <si>
    <t xml:space="preserve">Centennial / DTC</t>
  </si>
  <si>
    <t xml:space="preserve">CloudSecureTech company profile</t>
  </si>
  <si>
    <t xml:space="preserve">Owner-operated, family-held — COMPLETED generational transition</t>
  </si>
  <si>
    <t xml:space="preserve">Lionel Maybin (founder, 1990); Nahjee Maybin (current CEO, took over end of 2018)</t>
  </si>
  <si>
    <t xml:space="preserve">Succession ALREADY EXECUTED (2018 handoff) — reduces near-term sale likelihood; founder retired from Air Force 2008 so likely past traditional retirement age but already stepped back</t>
  </si>
  <si>
    <t xml:space="preserve">38+ companies supported across 26 states</t>
  </si>
  <si>
    <t xml:space="preserve">MSP, cybersecurity, 24/7 helpdesk, vCIO, structured cabling; one of few minority-owned MSPs in Denver metro</t>
  </si>
  <si>
    <t xml:space="preserve">5.0 (19 verified Google)</t>
  </si>
  <si>
    <t xml:space="preserve">Useful comp for a completed family succession</t>
  </si>
  <si>
    <t xml:space="preserve">TrinWare (Microsel of Colorado LLC)</t>
  </si>
  <si>
    <t xml:space="preserve">Centennial</t>
  </si>
  <si>
    <t xml:space="preserve">ZoomInfo/LeadIQ, Jul 2026</t>
  </si>
  <si>
    <t xml:space="preserve">Dan Cashman (President); David Dillion (Chief Services Officer); Kristan Anderson (CFO)</t>
  </si>
  <si>
    <t xml:space="preserve">22 yrs, stable long-tenured leadership team</t>
  </si>
  <si>
    <t xml:space="preserve">MSP + cybersecurity + CUSTOM HARDWARE MANUFACTURING (simulation, digital signage, esports, CAD); publishes own Denver MSP buyer's guide</t>
  </si>
  <si>
    <t xml:space="preserve">Hardware division complicates a clean MSP-only sale</t>
  </si>
  <si>
    <t xml:space="preserve">eCreek IT Solutions</t>
  </si>
  <si>
    <t xml:space="preserve">Greenwood Village Chamber: '22 employees in 18 years'; a separate source cites 15 — treat as 15-22</t>
  </si>
  <si>
    <t xml:space="preserve">Owner-operated / independent, self-described locally owned</t>
  </si>
  <si>
    <t xml:space="preserve">Scott Larson (founder, ex-Dish Network)</t>
  </si>
  <si>
    <t xml:space="preserve">22 yrs; founder had a prior full career at Dish Network before founding, implying an older founder cohort; Inc 5000 growth firms are also common sale candidates</t>
  </si>
  <si>
    <t xml:space="preserve">Targets orgs with 10-500 workstations</t>
  </si>
  <si>
    <t xml:space="preserve">Co-managed IT, cybersecurity, compliance (HIPAA/CMMC/SOC2), VoIP; Denver/Boulder/DTC/Colo Springs/Golden/Superior</t>
  </si>
  <si>
    <t xml:space="preserve">4.9 (80 Google); Inc. 5000 2025 (#3,485), 3 yrs running</t>
  </si>
  <si>
    <t xml:space="preserve">112% 3-yr growth per Inc. 5000</t>
  </si>
  <si>
    <t xml:space="preserve">Office Automation Technologies, Inc. (OATI)</t>
  </si>
  <si>
    <t xml:space="preserve">Wheat Ridge</t>
  </si>
  <si>
    <t xml:space="preserve">ZoomInfo band 10-49</t>
  </si>
  <si>
    <t xml:space="preserve">Independent; contact listed as David Wacker (title unconfirmed as owner)</t>
  </si>
  <si>
    <t xml:space="preserve">David Wacker (contact; ownership unverified)</t>
  </si>
  <si>
    <t xml:space="preserve">31 yrs; no succession/next-gen leadership mentioned anywhere found — classic aging-owner profile by tenure alone</t>
  </si>
  <si>
    <t xml:space="preserve">Managed IT, network monitoring, cybersecurity, cloud, desktop/server support; architectural/engineering/financial verticals</t>
  </si>
  <si>
    <t xml:space="preserve">5.0 (7, Chamber)</t>
  </si>
  <si>
    <t xml:space="preserve">North Star, Inc.</t>
  </si>
  <si>
    <t xml:space="preserve">One aggregator says 5 (likely understated for a 30+ yr firm) — verify</t>
  </si>
  <si>
    <t xml:space="preserve">Independent, three co-owners</t>
  </si>
  <si>
    <t xml:space="preserve">Darryl Kalli, Brad Miles, Tony Quijano (co-owners, 'hands-on' ownership)</t>
  </si>
  <si>
    <t xml:space="preserve">33 yrs; multi-owner structure with no stated succession plan — could signal eventual generational/exit planning need</t>
  </si>
  <si>
    <t xml:space="preserve">Network support, cloud management, IT support/consulting</t>
  </si>
  <si>
    <t xml:space="preserve">Name collisions with other 'North Star' firms on Glassdoor/Indeed complicated verification</t>
  </si>
  <si>
    <t xml:space="preserve">K3 Technology</t>
  </si>
  <si>
    <t xml:space="preserve">Greenwood Village (+ Dallas)</t>
  </si>
  <si>
    <t xml:space="preserve">RocketReach/LinkedIn-derived</t>
  </si>
  <si>
    <t xml:space="preserve">Independent; owner/founder not confirmed (Jerry Kukuchka is CFO, not confirmed owner)</t>
  </si>
  <si>
    <t xml:space="preserve">Unknown</t>
  </si>
  <si>
    <t xml:space="preserve">Young company (2017) — no retirement signal found</t>
  </si>
  <si>
    <t xml:space="preserve">Managed IT, cybersecurity, M365, practical AI automation for growing businesses; serves Golden/Brighton via location pages</t>
  </si>
  <si>
    <t xml:space="preserve">~4.96 (23 Google — 22 five-star, 1 four-star)</t>
  </si>
  <si>
    <t xml:space="preserve">Lark IT (Lark Information Technology)</t>
  </si>
  <si>
    <t xml:space="preserve">LinkedIn/Clutch band 11-50</t>
  </si>
  <si>
    <t xml:space="preserve">Tim Hochman (founding CEO)</t>
  </si>
  <si>
    <t xml:space="preserve">23 yrs, founder still CEO</t>
  </si>
  <si>
    <t xml:space="preserve">MSP + DevOps/IT consulting hybrid; vCIO/vCTO services, cybersecurity, systems integration</t>
  </si>
  <si>
    <t xml:space="preserve">Springs IT</t>
  </si>
  <si>
    <t xml:space="preserve">Unverified</t>
  </si>
  <si>
    <t xml:space="preserve">Independent — RECLASSIFIED</t>
  </si>
  <si>
    <t xml:space="preserve">N/A</t>
  </si>
  <si>
    <t xml:space="preserve">Founded 2015 — current site presents as Microsoft/Azure consulting and custom software development, no longer positions as a managed services provider</t>
  </si>
  <si>
    <t xml:space="preserve">Azure &amp; cloud, Modern Work (M365), custom software dev — NOTE: has drifted out of the MSP category</t>
  </si>
  <si>
    <t xml:space="preserve">5.0 (9)</t>
  </si>
  <si>
    <t xml:space="preserve">RainTech</t>
  </si>
  <si>
    <t xml:space="preserve">Appears independent; no PE found</t>
  </si>
  <si>
    <t xml:space="preserve">Not named on about page</t>
  </si>
  <si>
    <t xml:space="preserve">No signal found</t>
  </si>
  <si>
    <t xml:space="preserve">AI services, cybersecurity, infrastructure, cloud, compliance (claims NIST 800-171); FQHC/healthcare/construction/nonprofit/PE verticals</t>
  </si>
  <si>
    <t xml:space="preserve">5.0 (7)</t>
  </si>
  <si>
    <t xml:space="preserve">Partial CMMC-adjacent capability (NIST 800-171) without an explicit DIB practice</t>
  </si>
  <si>
    <t xml:space="preserve">Colorado Hi-Tech Solutions (CHTS)</t>
  </si>
  <si>
    <t xml:space="preserve">Clutch/directory band</t>
  </si>
  <si>
    <t xml:space="preserve">Independent</t>
  </si>
  <si>
    <t xml:space="preserve">Zachary King (per directory)</t>
  </si>
  <si>
    <t xml:space="preserve">Three decades serving Colorado Springs commercial sector</t>
  </si>
  <si>
    <t xml:space="preserve">Fully + co-managed IT, managed security, VoIP/UC, SD-WAN, low-voltage cabling; extends to Pueblo</t>
  </si>
  <si>
    <t xml:space="preserve">Technical Framework</t>
  </si>
  <si>
    <t xml:space="preserve">Fort Collins (+ Greeley, Loveland)</t>
  </si>
  <si>
    <t xml:space="preserve">Clutch band 2-9 — borderline vs. size floor</t>
  </si>
  <si>
    <t xml:space="preserve">Al Harris (President) &amp; Allison Robin</t>
  </si>
  <si>
    <t xml:space="preserve">14 yrs, two active founders — not a retirement-window target</t>
  </si>
  <si>
    <t xml:space="preserve">100+ companies (cumulative claim)</t>
  </si>
  <si>
    <t xml:space="preserve">MSP + strong compliance posture — HIPAA/CMMC/ITAR/NIST/PCI/SOC2; construction, real estate, CPA, veterinary, law, dental, engineering verticals</t>
  </si>
  <si>
    <t xml:space="preserve">FC Chamber Small Business of the Year 2019; CMMC/ITAR is a genuine differentiator</t>
  </si>
  <si>
    <t xml:space="preserve">iPoint Technologies</t>
  </si>
  <si>
    <t xml:space="preserve">Conflicting: one source 10, another 20</t>
  </si>
  <si>
    <t xml:space="preserve">$2M (reported alongside 20-emp figure) — LOW RELIABILITY</t>
  </si>
  <si>
    <t xml:space="preserve">William Bleich (President)</t>
  </si>
  <si>
    <t xml:space="preserve">24 yrs, single named president — but hybrid IT/web/marketing model makes it a messier acquisition (buying recurring MSP revenue means buying a project-services agency too)</t>
  </si>
  <si>
    <t xml:space="preserve">HYBRID — managed IT + website design/management + digital marketing</t>
  </si>
  <si>
    <t xml:space="preserve">Crown Point Solutions</t>
  </si>
  <si>
    <t xml:space="preserve">Fort Collins (+ Minneapolis-St Paul MN)</t>
  </si>
  <si>
    <t xml:space="preserve">Not verified — no PE evidence found</t>
  </si>
  <si>
    <t xml:space="preserve">Not located</t>
  </si>
  <si>
    <t xml:space="preserve">23 yrs; two-metro CO/MN split is unusual for a firm this size and may indicate an owner relocation — worth a call, insufficient public data</t>
  </si>
  <si>
    <t xml:space="preserve">Website design, managed IT, cybersecurity for SMB — hybrid web+IT model</t>
  </si>
  <si>
    <t xml:space="preserve">Connecting Point (of Greeley)</t>
  </si>
  <si>
    <t xml:space="preserve">Greeley</t>
  </si>
  <si>
    <t xml:space="preserve">Verified direct count 17 (team page); RocketReach 26; ZoomInfo 35</t>
  </si>
  <si>
    <t xml:space="preserve">RocketReach $15M / ZoomInfo $8.5M — likely includes hardware resale, not services-only</t>
  </si>
  <si>
    <t xml:space="preserve">Owner-operated, second generation</t>
  </si>
  <si>
    <t xml:space="preserve">Ted Warner (founder) → sons Scott Warner (Pres/CEO) &amp; Andy Warner (CFO), 50/50 since Apr 2019</t>
  </si>
  <si>
    <t xml:space="preserve">Succession ALREADY EXECUTED (2019) to sons then mid-30s (~early 40s now) — opposite of a retirement-window target, but a high-quality asset if the brothers ever entertain an exit</t>
  </si>
  <si>
    <t xml:space="preserve">General MSP + cybersecurity, cloud, M365; VAR/hardware-resale heritage; CRN MSP 500/Pioneer 250 2024, MSP 501</t>
  </si>
  <si>
    <t xml:space="preserve">~5.0 (21+ reviews)</t>
  </si>
  <si>
    <t xml:space="preserve">Useful comp: clean 2-owner structure, no PE, 40-yr brand</t>
  </si>
  <si>
    <t xml:space="preserve">Windward Networks</t>
  </si>
  <si>
    <t xml:space="preserve">Boulder</t>
  </si>
  <si>
    <t xml:space="preserve">'Locally owned and operated' — explicit anti-roll-up positioning</t>
  </si>
  <si>
    <t xml:space="preserve">Not publicly named</t>
  </si>
  <si>
    <t xml:space="preserve">20+ yrs; deliberate anti-PE marketing stance cuts both ways — may signal genuine independence, or may be held by an owner who would still sell privately</t>
  </si>
  <si>
    <t xml:space="preserve">General MSP; clients 3-100 employees</t>
  </si>
  <si>
    <t xml:space="preserve">C</t>
  </si>
  <si>
    <t xml:space="preserve">Simplified IT Solutions (simpinc)</t>
  </si>
  <si>
    <t xml:space="preserve">Lafayette / Westminster</t>
  </si>
  <si>
    <t xml:space="preserve">Manages 1,000+ endpoints; headcount not disclosed</t>
  </si>
  <si>
    <t xml:space="preserve">Independent; founder status of current CEO UNVERIFIED</t>
  </si>
  <si>
    <t xml:space="preserve">Ryan Rolfsmeier (CEO) — whether he is the 1993 founder is NOT established</t>
  </si>
  <si>
    <t xml:space="preserve">OLDEST founding date in the entire Colorado dataset (1993) IF Rolfsmeier is the original founder — key gap to close</t>
  </si>
  <si>
    <t xml:space="preserve">General MSP; support/maintenance, consulting, data protection; targets 10-50 user SMBs</t>
  </si>
  <si>
    <t xml:space="preserve">Serves Fort Collins/Greeley/Loveland/Longmont/Lafayette/Westminster via service-area pages</t>
  </si>
  <si>
    <t xml:space="preserve">TruTech IT Solutions</t>
  </si>
  <si>
    <t xml:space="preserve">Colorado Springs (+ Pueblo, Denver, Central FL)</t>
  </si>
  <si>
    <t xml:space="preserve">Appears independent</t>
  </si>
  <si>
    <t xml:space="preserve">Not disclosed</t>
  </si>
  <si>
    <t xml:space="preserve">Managed IT (fixed monthly, unlimited support model), M365, cloud backup, network/email security</t>
  </si>
  <si>
    <t xml:space="preserve">Unusual dual-state CO/FL footprint for a firm this size</t>
  </si>
  <si>
    <t xml:space="preserve">Stepping Forward Technology</t>
  </si>
  <si>
    <t xml:space="preserve">Datanyze 10; RocketReach 12</t>
  </si>
  <si>
    <t xml:space="preserve">Owner-operated, husband-and-wife</t>
  </si>
  <si>
    <t xml:space="preserve">Matthew Harvey (CEO) &amp; Jennifer Harvey (Co-Owner)</t>
  </si>
  <si>
    <t xml:space="preserve">Managed IT, strategic IT consulting, cybersecurity, cloud, compliance support</t>
  </si>
  <si>
    <t xml:space="preserve">CTI Corporate Technologies, Inc.</t>
  </si>
  <si>
    <t xml:space="preserve">Pueblo</t>
  </si>
  <si>
    <t xml:space="preserve">Veteran-owned small business</t>
  </si>
  <si>
    <t xml:space="preserve">No signal found — but the ONLY genuinely Pueblo-HQ'd MSP identified in a city of ~110K, i.e. an incumbent with almost no local competition</t>
  </si>
  <si>
    <t xml:space="preserve">Small business IT support/consulting/sales, network hosting/shared data center, backup</t>
  </si>
  <si>
    <t xml:space="preserve">90%+ positive (source unclear, low confidence)</t>
  </si>
  <si>
    <t xml:space="preserve">Founding year conflicts (1990 vs 2003); website did not reliably resolve — verify directly</t>
  </si>
  <si>
    <t xml:space="preserve">TriOptimum Technologies</t>
  </si>
  <si>
    <t xml:space="preserve">Montrose</t>
  </si>
  <si>
    <t xml:space="preserve">Only 2 principals named — likely at or below size floor</t>
  </si>
  <si>
    <t xml:space="preserve">Chris Parker &amp; David Turner (key personnel)</t>
  </si>
  <si>
    <t xml:space="preserve">Managed IT — proactive monitoring, helpdesk, endpoint security, backups; strong municipal/utility client orientation for a small firm</t>
  </si>
  <si>
    <t xml:space="preserve">Verify headcount before outreach</t>
  </si>
  <si>
    <t xml:space="preserve">Kosh Solutions</t>
  </si>
  <si>
    <t xml:space="preserve">Durango branch (HQ Las Cruces, NM)</t>
  </si>
  <si>
    <t xml:space="preserve">Unverified — multi-state firm, CO-only share unknown</t>
  </si>
  <si>
    <t xml:space="preserve">Private — no PE sponsor found</t>
  </si>
  <si>
    <t xml:space="preserve">Koert Council &amp; Joshua Fristoe (cofounders); Travis Alsup (CEO since 2012, non-founder)</t>
  </si>
  <si>
    <t xml:space="preserve">Non-founder professional CEO installed 2012 while both cofounders remain associated — a pattern that often precedes a sale, though no stated intent found</t>
  </si>
  <si>
    <t xml:space="preserve">Managed IT/network, M365, hardware rental, BCDR, CMMC compliance — explicit DIB relevance given Four Corners federal footprint</t>
  </si>
  <si>
    <t xml:space="preserve">2026 MSP 501 honoree; Durango is a real staffed branch, not HQ</t>
  </si>
  <si>
    <t xml:space="preserve">X</t>
  </si>
  <si>
    <t xml:space="preserve">NexusTek</t>
  </si>
  <si>
    <t xml:space="preserve">Greenwood Village</t>
  </si>
  <si>
    <t xml:space="preserve">Clutch band 250-999</t>
  </si>
  <si>
    <t xml:space="preserve">ACQUIRED — ABRY Partners (with Alvarez &amp; Marsal Capital), Dec 13 2017, from Lightview Capital; later merged with Breakthrough Technology Group</t>
  </si>
  <si>
    <t xml:space="preserve">PE-controlled; no founder-owner remains</t>
  </si>
  <si>
    <t xml:space="preserve">ABRY has held since 2017 (9 yrs) — beyond a typical 5-7yr PE hold, an exit may be due</t>
  </si>
  <si>
    <t xml:space="preserve">National MSP for SMB — managed cloud, cybersecurity, business continuity; Channel Futures MSP 501, 3x CRN Triple Crown</t>
  </si>
  <si>
    <t xml:space="preserve">4.2 (6 Clutch)</t>
  </si>
  <si>
    <t xml:space="preserve">Itself an acquirer (bought ICCS &amp; Co)</t>
  </si>
  <si>
    <t xml:space="preserve">Greystone Technology</t>
  </si>
  <si>
    <t xml:space="preserve">Denver (+ Fort Collins, Boulder offices)</t>
  </si>
  <si>
    <t xml:space="preserve">DesignRush band 100-249</t>
  </si>
  <si>
    <t xml:space="preserve">ACQUIRED — New Charter Technologies (Oval Partners), Aug 21 2020; was Cypress Growth Capital portfolio 2016-2020</t>
  </si>
  <si>
    <t xml:space="preserve">Peter Melby (CEO) &amp; Jesse Armstrong (Chairman/President) — remained post-acquisition (verify current status)</t>
  </si>
  <si>
    <t xml:space="preserve">Already exited twice — founders took liquidity in 2016 and 2020</t>
  </si>
  <si>
    <t xml:space="preserve">Managed IT, cybersecurity, project services, web/app dev, procurement</t>
  </si>
  <si>
    <t xml:space="preserve">Two ownership events in 10 years — clearest evidence PE is actively buying Front Range MSPs; has a Fort Collins office too</t>
  </si>
  <si>
    <t xml:space="preserve">Noynim IT Solutions → Harbor IT</t>
  </si>
  <si>
    <t xml:space="preserve">375+ nationwide (parent-level, not Denver-only)</t>
  </si>
  <si>
    <t xml:space="preserve">ACQUIRED — Harbor IT (Worklyn Partners), Jun 6 2023; brand fully rebranded/absorbed</t>
  </si>
  <si>
    <t xml:space="preserve">Original founder no longer identified post-rebrand</t>
  </si>
  <si>
    <t xml:space="preserve">Already exited 2023</t>
  </si>
  <si>
    <t xml:space="preserve">Cyber-first MSP — critical infrastructure, healthcare/life sciences, PE, regulated professional services</t>
  </si>
  <si>
    <t xml:space="preserve">noynim.com 301-redirects to harborit.com</t>
  </si>
  <si>
    <t xml:space="preserve">machineLOGIC → Sourcepass</t>
  </si>
  <si>
    <t xml:space="preserve">Englewood</t>
  </si>
  <si>
    <t xml:space="preserve">Not disclosed pre-acquisition</t>
  </si>
  <si>
    <t xml:space="preserve">ACQUIRED — Sourcepass, May 2023, their 8th acquisition</t>
  </si>
  <si>
    <t xml:space="preserve">Daniel Johnson (CEO at time of acquisition)</t>
  </si>
  <si>
    <t xml:space="preserve">Was cloud, security, and intelligent/RPA automation for SMB/mid-market</t>
  </si>
  <si>
    <t xml:space="preserve">Verticomm</t>
  </si>
  <si>
    <t xml:space="preserve">Denver (+ Grand Junction branch)</t>
  </si>
  <si>
    <t xml:space="preserve">MSP Companies directory; LinkedIn band 51-200</t>
  </si>
  <si>
    <t xml:space="preserve">ACQUIRED — All Copy Products (trade/strategic buyer, not PE), Sep 2015</t>
  </si>
  <si>
    <t xml:space="preserve">Formerly Eric Nastri (CEO) &amp; Rich Kennedy (President) — Kennedy now President of Elevate Services Group (completed departure)</t>
  </si>
  <si>
    <t xml:space="preserve">Already exited 2015; original owners have moved on</t>
  </si>
  <si>
    <t xml:space="preserve">Managed IT, cloud, communications, security — bundled with parent's managed print/office equipment</t>
  </si>
  <si>
    <t xml:space="preserve">All Copy Products = largest independent office-equipment dealer in CO, acquisition-fueled growth strategy</t>
  </si>
  <si>
    <t xml:space="preserve">Vertilocity</t>
  </si>
  <si>
    <t xml:space="preserve">Greenwood Village (origin: Pittsburgh PA / lineage to 1986)</t>
  </si>
  <si>
    <t xml:space="preserve">Clutch band 50-249 — too wide to be actionable</t>
  </si>
  <si>
    <t xml:space="preserve">ACQUIRED — 'an HBK company' since 2021 (HBK = accounting/professional-services firm — CPA-firm-owned MSP model)</t>
  </si>
  <si>
    <t xml:space="preserve">Robert L. Nelson (1986 lineage); no independent owner today</t>
  </si>
  <si>
    <t xml:space="preserve">Already exited 2021</t>
  </si>
  <si>
    <t xml:space="preserve">Managed IT, cybersecurity, ERP/business systems consulting — consulting-weighted (only ~20% pure managed services per Clutch)</t>
  </si>
  <si>
    <t xml:space="preserve">High rate card ($200-300/hr)</t>
  </si>
  <si>
    <t xml:space="preserve">Zivaro → Trace3 Government</t>
  </si>
  <si>
    <t xml:space="preserve">Not disclosed at acquisition</t>
  </si>
  <si>
    <t xml:space="preserve">ACQUIRED — Trace3, Dec 19 2024; forms Trace3 Government (T3G)</t>
  </si>
  <si>
    <t xml:space="preserve">Not captured</t>
  </si>
  <si>
    <t xml:space="preserve">Already exited Dec 2024</t>
  </si>
  <si>
    <t xml:space="preserve">Government/public-sector integrator — software engineering, managed hybrid cloud, SIEM; arguably outside a commercial-MSP definition</t>
  </si>
  <si>
    <t xml:space="preserve">Sell-side advisor: Class VI Partners (Denver); terms undisclosed</t>
  </si>
  <si>
    <t xml:space="preserve">ProVelocity → IronEdge Group</t>
  </si>
  <si>
    <t xml:space="preserve">Grand Junction (pre-deal)</t>
  </si>
  <si>
    <t xml:space="preserve">Conflicting: 10 vs 51-200</t>
  </si>
  <si>
    <t xml:space="preserve">ACQUIRED — merged with IronEdge Group (Houston) by The Riverside Company (PE), Feb 2023; combined entity then acquired LANstar LLC Jul 20 2023</t>
  </si>
  <si>
    <t xml:space="preserve">Jon Labrum (pre-deal Managing Member)</t>
  </si>
  <si>
    <t xml:space="preserve">Already exited 2023; real local operations originated here, now PE-owned via Houston platform</t>
  </si>
  <si>
    <t xml:space="preserve">Managed IT, CTO services, cybersecurity, communications, cloud</t>
  </si>
  <si>
    <t xml:space="preserve">Markets Grand Junction as a service area covering Fruita, Palisade, Montrose, Glenwood Springs</t>
  </si>
  <si>
    <t xml:space="preserve">CommWest Corp</t>
  </si>
  <si>
    <t xml:space="preserve">Grand Junction</t>
  </si>
  <si>
    <t xml:space="preserve">Not disclosed (team page 403)</t>
  </si>
  <si>
    <t xml:space="preserve">ACQUIRED — Nov 11 2025 by Managing Partners Anson Pierce &amp; Martin Jensen (operate two Florida tech firms) — out-of-state operator group, culture-preserving deal</t>
  </si>
  <si>
    <t xml:space="preserve">Nathan Wallace (owner since 2005, sold after ~20 yrs)</t>
  </si>
  <si>
    <t xml:space="preserve">CLEAREST COMPLETED SUCCESSION/EXIT EVENT in the whole Colorado dataset — Wallace's two daughters' continued employment was an explicit deal condition; seller quoted wanting to see staff/customers happy 'in a few years'</t>
  </si>
  <si>
    <t xml:space="preserve">Managed IT support, business communications/phone systems, cybersecurity, data recovery; Grand Junction/Fruita/Clifton/Montrose/Delta/Rifle</t>
  </si>
  <si>
    <t xml:space="preserve">BEST COMPARABLE for how a Western Slope succession sale actually happens</t>
  </si>
  <si>
    <t xml:space="preserve">Applied Tech</t>
  </si>
  <si>
    <t xml:space="preserve">Madison WI (Lafayette/Boulder CO office)</t>
  </si>
  <si>
    <t xml:space="preserve">Clutch band 50-249</t>
  </si>
  <si>
    <t xml:space="preserve">ACQUIRED — GenNx360 Capital Partners → Heartland Business Systems (HBS, acquired by GenNx360 Oct 2025) → Applied Tech (HBS's first add-on under GenNx360, ~Apr 2026); absorbed CO's Platte River Networks (early 2023)</t>
  </si>
  <si>
    <t xml:space="preserve">Already exited; multi-layer PE chain</t>
  </si>
  <si>
    <t xml:space="preserve">Fully + co-managed IT, regulated security services, cloud/infrastructure; SOC 2 Type 2, Microsoft Gold Partner</t>
  </si>
  <si>
    <t xml:space="preserve">4.8 (10 Clutch)</t>
  </si>
  <si>
    <t xml:space="preserve">Deal explicitly expands HBS into 'the Rocky Mountain region'</t>
  </si>
  <si>
    <t xml:space="preserve">PEI</t>
  </si>
  <si>
    <t xml:space="preserve">DesignRush band 100-249 likely firm-wide post-deal; PEI standalone unverified</t>
  </si>
  <si>
    <t xml:space="preserve">ACQUIRED — Dataprise (Trinity Hunt Partners), Nov 1 2023 — explicitly Dataprise's entry INTO the Colorado market</t>
  </si>
  <si>
    <t xml:space="preserve">Tim Krueger (PEI President/CEO)</t>
  </si>
  <si>
    <t xml:space="preserve">Already exited Nov 2023</t>
  </si>
  <si>
    <t xml:space="preserve">~250 clients across Colorado</t>
  </si>
  <si>
    <t xml:space="preserve">Unified communications, virtualization, networking, infrastructure</t>
  </si>
  <si>
    <t xml:space="preserve">38-yr-old Boulder firm; award-winning consultancy pre-acquisition</t>
  </si>
  <si>
    <t xml:space="preserve">Navakai</t>
  </si>
  <si>
    <t xml:space="preserve">ACQUIRED — Ntiva (PSP Capital/Pritzker family office), deal completed Oct 1 2021</t>
  </si>
  <si>
    <t xml:space="preserve">Shawn Morland &amp; Davin Neubacher (founders)</t>
  </si>
  <si>
    <t xml:space="preserve">Now operates as Ntiva's 'Rocky Mountain regional hub'</t>
  </si>
  <si>
    <t xml:space="preserve">Terms undisclosed</t>
  </si>
  <si>
    <t xml:space="preserve">Optimum Networking</t>
  </si>
  <si>
    <t xml:space="preserve">Aurora</t>
  </si>
  <si>
    <t xml:space="preserve">ACQUIRED — Meriplex (Vitruvian Partners since Jul 2022, prior Clairvest Group), announced Nov 2021</t>
  </si>
  <si>
    <t xml:space="preserve">Network/cybersecurity, disaster recovery, server virtualization, backup</t>
  </si>
  <si>
    <t xml:space="preserve">4.3 (11 Google)</t>
  </si>
  <si>
    <t xml:space="preserve">Meriplex's Colorado entry point/branch; Meriplex has done 13 acquisitions since 2018</t>
  </si>
  <si>
    <t xml:space="preserve">F</t>
  </si>
  <si>
    <t xml:space="preserve">TeamLogic IT — Denver</t>
  </si>
  <si>
    <t xml:space="preserve">Franchise band 2-9 per unit; ~120 per one aggregator (likely firm-wide/multi-unit)</t>
  </si>
  <si>
    <t xml:space="preserve">Locally owned franchise (national TeamLogic brand)</t>
  </si>
  <si>
    <t xml:space="preserve">Not published</t>
  </si>
  <si>
    <t xml:space="preserve">Franchise resale is the standard exit path</t>
  </si>
  <si>
    <t xml:space="preserve">Proactive/preventative/responsive IT, emergency support</t>
  </si>
  <si>
    <t xml:space="preserve">Entrepreneur Magazine Top 100 Fastest Growing Franchises</t>
  </si>
  <si>
    <t xml:space="preserve">TeamLogic IT — Colorado Springs</t>
  </si>
  <si>
    <t xml:space="preserve">Directory band 2-9</t>
  </si>
  <si>
    <t xml:space="preserve">Locally owned franchise</t>
  </si>
  <si>
    <t xml:space="preserve">Managed IT support, proactive security</t>
  </si>
  <si>
    <t xml:space="preserve">Separate franchise unit from the Denver location</t>
  </si>
  <si>
    <t xml:space="preserve">CoreManaged (Denver-adjacent)</t>
  </si>
  <si>
    <t xml:space="preserve">Co-managed IT, CMMC/NIST consulting, M365/Azure</t>
  </si>
  <si>
    <t xml:space="preserve">Colorado Information Technologies, Inc.</t>
  </si>
  <si>
    <t xml:space="preserve">CONFLICTING: one source lists 2 employees, another 10-20 — may fall below size floor, verify</t>
  </si>
  <si>
    <t xml:space="preserve">Jeremy Higham (owner)</t>
  </si>
  <si>
    <t xml:space="preserve">~30 yrs ('30 years of network solutions' claim), single named owner, minimal digital footprint — consistent with a wind-down-stage lifestyle business (inference only)</t>
  </si>
  <si>
    <t xml:space="preserve">Network and server support, workstation support, proactive monitoring</t>
  </si>
  <si>
    <t xml:space="preserve">Microsoft Certified Partner, Cisco Partner Select</t>
  </si>
  <si>
    <t xml:space="preserve">Roll-up potential</t>
  </si>
  <si>
    <t xml:space="preserve">City</t>
  </si>
  <si>
    <t xml:space="preserve">Est. staff</t>
  </si>
  <si>
    <t xml:space="preserve">Service mix (recurring vs break-fix)</t>
  </si>
  <si>
    <t xml:space="preserve">Client base</t>
  </si>
  <si>
    <t xml:space="preserve">Owner tenure / age signal (inference)</t>
  </si>
  <si>
    <t xml:space="preserve">Rationale</t>
  </si>
  <si>
    <t xml:space="preserve">Notes / status</t>
  </si>
  <si>
    <t xml:space="preserve">Ariel IT Services (arielMIS)</t>
  </si>
  <si>
    <t xml:space="preserve">Louisville</t>
  </si>
  <si>
    <t xml:space="preserve">2-10 (est.)</t>
  </si>
  <si>
    <t xml:space="preserve">RECURRING MSP model — explicitly shifted from break-fix, 'one of the first in the area'; predecessor lineage to 1996</t>
  </si>
  <si>
    <t xml:space="preserve">Bob McCool (owner; bought out 1996 co-founder; merged w/ Cam Marshall's Marshall Information Service 2006)</t>
  </si>
  <si>
    <t xml:space="preserve">B2B and nonprofits, Denver/Boulder/Longmont area</t>
  </si>
  <si>
    <t xml:space="preserve">30-year lineage (1996-2026); owner ALREADY EXECUTED one M&amp;A move (2006 merger) — sophisticated, deal-experienced, plausible seller</t>
  </si>
  <si>
    <t xml:space="preserve">Oldest lineage found in Colorado; deliberate early MSP-model adopter with prior M&amp;A experience — strongest tuck-in candidate on this tab</t>
  </si>
  <si>
    <t xml:space="preserve">~11 (ZoomInfo)</t>
  </si>
  <si>
    <t xml:space="preserve">RECURRING — cybersecurity/compliance, cloud, backup, managed IT, security cameras, VoIP, staff aug</t>
  </si>
  <si>
    <t xml:space="preserve">Mike Molsen (CEO/founder)</t>
  </si>
  <si>
    <t xml:space="preserve">SMB, Colorado Springs + Elk Grove Village IL</t>
  </si>
  <si>
    <t xml:space="preserve">32-year founder tenure (1993-2026) — the STRONGEST age/tenure signal found across all of Colorado</t>
  </si>
  <si>
    <t xml:space="preserve">Longest-tenured founder found; real recurring B2B book; strong review volume/rating; multi-state ops = real infrastructure not a solo shop</t>
  </si>
  <si>
    <t xml:space="preserve">4.9 (32 Google); 5.0 (26 TrustAnalytica)</t>
  </si>
  <si>
    <t xml:space="preserve">Boulder (+ Longmont)</t>
  </si>
  <si>
    <t xml:space="preserve">5 (ZoomInfo)</t>
  </si>
  <si>
    <t xml:space="preserve">RECURRING MSP — IT security, network upgrades, virtualization, data protection; real estate/healthcare/law verticals</t>
  </si>
  <si>
    <t xml:space="preserve">Kelly Garrison (Partner)</t>
  </si>
  <si>
    <t xml:space="preserve">B2B, Boulder/Longmont, compliance-heavy verticals</t>
  </si>
  <si>
    <t xml:space="preserve">22 years operating; ~$4M revenue on 5 employees is a NOTABLY HIGH revenue-per-head ratio — strong signal of high-margin recurring revenue, not commodity break-fix</t>
  </si>
  <si>
    <t xml:space="preserve">Right-sized headcount, long tenure, vertical specialization, unusually strong rev/headcount ratio — one of the strongest candidates found</t>
  </si>
  <si>
    <t xml:space="preserve">Medium-High</t>
  </si>
  <si>
    <t xml:space="preserve">Unknown — 'same ownership since 1998'</t>
  </si>
  <si>
    <t xml:space="preserve">RECURRING — managed IT, cybersecurity, hosting for small businesses</t>
  </si>
  <si>
    <t xml:space="preserve">Tad Osborn (President)</t>
  </si>
  <si>
    <t xml:space="preserve">B2B, Northern Colorado</t>
  </si>
  <si>
    <t xml:space="preserve">28 years, SAME OWNERSHIP throughout — strong tenure signal</t>
  </si>
  <si>
    <t xml:space="preserve">Very long stable single-owner tenure is a strong exit-readiness signal; headcount needs direct verification</t>
  </si>
  <si>
    <t xml:space="preserve">Code Blue Computing, Inc.</t>
  </si>
  <si>
    <t xml:space="preserve">Broomfield</t>
  </si>
  <si>
    <t xml:space="preserve">Unknown — 'under 49' band</t>
  </si>
  <si>
    <t xml:space="preserve">RECURRING MSP + cybersecurity for law firms, manufacturing, CPAs</t>
  </si>
  <si>
    <t xml:space="preserve">Jeri Morgan (President) &amp; Bill Morgan (Co-Owner) — husband-wife, woman-owned</t>
  </si>
  <si>
    <t xml:space="preserve">B2B, Denver/Boulder area, named verticals (legal, mfg, accounting)</t>
  </si>
  <si>
    <t xml:space="preserve">17-year firm, husband-wife ownership — plausible succession/exit candidate given family structure and multi-decade run</t>
  </si>
  <si>
    <t xml:space="preserve">Strong review volume (86 Google) and rating, named B2B verticals, family-owned = often correlates with exit openness</t>
  </si>
  <si>
    <t xml:space="preserve">A+ BBB; 86 Google; 22 Yelp — 2nd-strongest review volume in this dataset</t>
  </si>
  <si>
    <t xml:space="preserve">Netirio</t>
  </si>
  <si>
    <t xml:space="preserve">Denver / Arvada</t>
  </si>
  <si>
    <t xml:space="preserve">FULLY RECURRING — managed IT, cybersecurity, cloud migration, help desk, VoIP, BCDR</t>
  </si>
  <si>
    <t xml:space="preserve">Avery H. George (CEO) — also previously owned 'Denver Computer Techs'</t>
  </si>
  <si>
    <t xml:space="preserve">B2B, Denver metro</t>
  </si>
  <si>
    <t xml:space="preserve">Owner claims 15+ years IT experience; ALREADY an active operator/acquirer of a second brand — may be a competitor/consolidator rather than a seller</t>
  </si>
  <si>
    <t xml:space="preserve">Strongest review volume in the entire dataset (72 Google, 5.0) is a real positive signal, but verify seller intent before approaching — he may be building, not selling</t>
  </si>
  <si>
    <t xml:space="preserve">5.0 (72 Google) — strongest review volume found</t>
  </si>
  <si>
    <t xml:space="preserve">1986 (D&amp;B) or ~1995 (other source) — CONFLICTING</t>
  </si>
  <si>
    <t xml:space="preserve">10-20 (D&amp;B) vs. 2 (other source) — CONFLICTING, must resolve before outreach</t>
  </si>
  <si>
    <t xml:space="preserve">Network consulting, server/workstation support, managed IT for SMB</t>
  </si>
  <si>
    <t xml:space="preserve">SMB, Colorado Springs</t>
  </si>
  <si>
    <t xml:space="preserve">IF the 1986 date is accurate this is a ~40-YEAR firm — an even stronger age signal than TekMyBiz; needs verification given the date conflict</t>
  </si>
  <si>
    <t xml:space="preserve">Potentially one of the oldest, most substantial shops found — but the headcount/founding-date conflict must be resolved first</t>
  </si>
  <si>
    <t xml:space="preserve">Medium</t>
  </si>
  <si>
    <t xml:space="preserve">Firma IT Solutions and Services</t>
  </si>
  <si>
    <t xml:space="preserve">Rodney Gullatte, Jr. (USAF veteran, CISSP/CISO/CNDA)</t>
  </si>
  <si>
    <t xml:space="preserve">3-4 (conflicting)</t>
  </si>
  <si>
    <t xml:space="preserve">RECURRING MSP + cybersecurity</t>
  </si>
  <si>
    <t xml:space="preserve">B2B, Colorado Springs; veteran/minority-owned business network ties</t>
  </si>
  <si>
    <t xml:space="preserve">2019 Pikes Peak Veteran Business Owner of the Year — seasoned, credentialed operator; no clear retirement-age signal</t>
  </si>
  <si>
    <t xml:space="preserve">Right-sized headcount, strong ratings (5.0 Angi/HomeAdvisor, A+ BBB), veteran/minority-owned story could matter for buyer diligence</t>
  </si>
  <si>
    <t xml:space="preserve">5.0 (Angi, HomeAdvisor); A+ BBB</t>
  </si>
  <si>
    <t xml:space="preserve">Aspire Technology Solutions</t>
  </si>
  <si>
    <t xml:space="preserve">~11</t>
  </si>
  <si>
    <t xml:space="preserve">RECURRING MSP — network management, data protection, cybersecurity</t>
  </si>
  <si>
    <t xml:space="preserve">Zachary 'Zack' Heckler (Founder &amp; President, founded as a college freshman)</t>
  </si>
  <si>
    <t xml:space="preserve">B2B Denver-metro; named case studies incl. Boulder Sausage</t>
  </si>
  <si>
    <t xml:space="preserve">26 years running the firm since founding at ~19-20 — founder likely mid-to-late 40s now, plausible succession-stage candidate</t>
  </si>
  <si>
    <t xml:space="preserve">Long tenure, real named B2B references; headcount (11) is above strict 1-5 target but relevant as a small-platform candidate</t>
  </si>
  <si>
    <t xml:space="preserve">Pro-IS</t>
  </si>
  <si>
    <t xml:space="preserve">2-10</t>
  </si>
  <si>
    <t xml:space="preserve">RECURRING — full-service IT support, managed IT, consulting for SMB</t>
  </si>
  <si>
    <t xml:space="preserve">Unknown — not identified in any source</t>
  </si>
  <si>
    <t xml:space="preserve">B2B SMB, Fort Collins</t>
  </si>
  <si>
    <t xml:space="preserve">28-year-old firm; owner identity unknown so age/tenure can't be inferred</t>
  </si>
  <si>
    <t xml:space="preserve">Long tenure and right-sized headcount are attractive, but identifying the principal is the necessary first step</t>
  </si>
  <si>
    <t xml:space="preserve">Northwest Data Services, Inc.</t>
  </si>
  <si>
    <t xml:space="preserve">MIXED — 'personalized technology solutions for both businesses AND homes'; also structured wiring, fiber, cameras, phones</t>
  </si>
  <si>
    <t xml:space="preserve">Bryan Bassett, Jon Quinn (President), Clay Ogden — General Partners</t>
  </si>
  <si>
    <t xml:space="preserve">Both business and residential, Steamboat Springs</t>
  </si>
  <si>
    <t xml:space="preserve">33-year-old firm, multi-partner structure — a partnership nearing 3 decades often signals succession planning underway</t>
  </si>
  <si>
    <t xml:space="preserve">Very long tenure and multi-partner ownership; residential/consumer component dilutes the pure-B2B thesis; worth outreach to gauge partner succession intent</t>
  </si>
  <si>
    <t xml:space="preserve">Zen Technology Solutions</t>
  </si>
  <si>
    <t xml:space="preserve">Englewood / Greenwood Village</t>
  </si>
  <si>
    <t xml:space="preserve">2-3 (conflicting)</t>
  </si>
  <si>
    <t xml:space="preserve">FULLY RECURRING — managed firewalls/servers/WiFi, endpoint protection, security assessments, email filtering, awareness training</t>
  </si>
  <si>
    <t xml:space="preserve">Joshua 'Josh' Stark (Founder &amp; CEO)</t>
  </si>
  <si>
    <t xml:space="preserve">Small offices, Denver-area B2B</t>
  </si>
  <si>
    <t xml:space="preserve">8-year-old firm; founder profile unclear on age/prior career</t>
  </si>
  <si>
    <t xml:space="preserve">Genuinely recurring B2B mix is attractive, but very small and young, founder appears still building not exiting</t>
  </si>
  <si>
    <t xml:space="preserve">Comprehensive Computer Consulting (C3)</t>
  </si>
  <si>
    <t xml:space="preserve">2-18 (conflicting)</t>
  </si>
  <si>
    <t xml:space="preserve">RECURRING — tailored IT solutions, ongoing network infrastructure support</t>
  </si>
  <si>
    <t xml:space="preserve">Michael Yopp</t>
  </si>
  <si>
    <t xml:space="preserve">B2B SMB, Colorado Springs</t>
  </si>
  <si>
    <t xml:space="preserve">20-year-old firm; owner likely peak-to-late career (inference)</t>
  </si>
  <si>
    <t xml:space="preserve">20-yr tenure and clear B2B positioning are attractive; headcount conflict (2 vs 18) needs resolving before sizing as tuck-in vs. small platform</t>
  </si>
  <si>
    <t xml:space="preserve">11-50 (LinkedIn) — larger than target range</t>
  </si>
  <si>
    <t xml:space="preserve">RECURRING — server/infrastructure design, project planning, networking, virtualization, VoIP</t>
  </si>
  <si>
    <t xml:space="preserve">B2B Denver</t>
  </si>
  <si>
    <t xml:space="preserve">25 yrs combined; '35 combined years experience' at founding implies an older founder cohort now (50s+ inference)</t>
  </si>
  <si>
    <t xml:space="preserve">Too large for a clean 1-5-person tuck-in — more of a small-platform acquisition; worth tracking if mandate flexes upward</t>
  </si>
  <si>
    <t xml:space="preserve">Wavefinity, LLC</t>
  </si>
  <si>
    <t xml:space="preserve">Minturn (Vail Valley/Eagle/Summit/Lake counties)</t>
  </si>
  <si>
    <t xml:space="preserve">Nathan Malone</t>
  </si>
  <si>
    <t xml:space="preserve">Likely solo/very small</t>
  </si>
  <si>
    <t xml:space="preserve">CLEAN RECURRING B2B/MSP — network troubleshooting, cybersecurity hardening, email security, full M365 admin/migration — no consumer-repair language found</t>
  </si>
  <si>
    <t xml:space="preserve">Small businesses, resort-corridor geographic moat similar to Roaring Fork Help Desk</t>
  </si>
  <si>
    <t xml:space="preserve">20+ years personal IT career (inference); company/entity age unconfirmed</t>
  </si>
  <si>
    <t xml:space="preserve">Clean recurring model, valuable mountain-resort geographic moat, but single-operator concentration risk is high</t>
  </si>
  <si>
    <t xml:space="preserve">DCM Technology Solutions</t>
  </si>
  <si>
    <t xml:space="preserve">Parker (HQ originally Illinois)</t>
  </si>
  <si>
    <t xml:space="preserve">Leslie A. Kleyweg; Adam Kleyweg, Denis Casarotto (family-run signal)</t>
  </si>
  <si>
    <t xml:space="preserve">2-8 (conflicting)</t>
  </si>
  <si>
    <t xml:space="preserve">Unclear — service mix not detailed in available sources; needs direct verification</t>
  </si>
  <si>
    <t xml:space="preserve">Unknown/not detailed</t>
  </si>
  <si>
    <t xml:space="preserve">23-25 years; Kleyweg family names suggest multi-generational/family ownership — positive succession signal</t>
  </si>
  <si>
    <t xml:space="preserve">Long tenure and apparent family ownership are attractive but service mix and client base unverified</t>
  </si>
  <si>
    <t xml:space="preserve">EnTech IT Solutions</t>
  </si>
  <si>
    <t xml:space="preserve">Littleton</t>
  </si>
  <si>
    <t xml:space="preserve">2-9</t>
  </si>
  <si>
    <t xml:space="preserve">RECURRING — managed IT, cybersecurity, VoIP, data backup, cloud computing, IT consulting</t>
  </si>
  <si>
    <t xml:space="preserve">Bryan Evege (President &amp; Founder)</t>
  </si>
  <si>
    <t xml:space="preserve">Small businesses, greater Denver area</t>
  </si>
  <si>
    <t xml:space="preserve">16 years running the firm; prior career as Network Engineer at an MVNO — age unknown</t>
  </si>
  <si>
    <t xml:space="preserve">Solid recurring model and 16-year tenure are positives, but thin review count and unverified headcount limit confidence</t>
  </si>
  <si>
    <t xml:space="preserve">5.0 (1 review — thin sample)</t>
  </si>
  <si>
    <t xml:space="preserve">Imperitiv Solutions LLC</t>
  </si>
  <si>
    <t xml:space="preserve">Denver (also Castle Rock)</t>
  </si>
  <si>
    <t xml:space="preserve">Managed IT support, cybersecurity, CMMC compliance, cloud — leans federal-contractor-adjacent</t>
  </si>
  <si>
    <t xml:space="preserve">Jeff Rash (Senior Principal Consultant, Castle Rock-based)</t>
  </si>
  <si>
    <t xml:space="preserve">SMBs, some federal-contractor/compliance work</t>
  </si>
  <si>
    <t xml:space="preserve">~20 yrs career experience (Raytheon, Cisco, Virtela background) — age unknown</t>
  </si>
  <si>
    <t xml:space="preserve">CMMC/compliance specialization is valuable but thin review count (9 Google) suggests a small book</t>
  </si>
  <si>
    <t xml:space="preserve">5.0 (9 Google)</t>
  </si>
  <si>
    <t xml:space="preserve">PR27:2 Managed IT Services</t>
  </si>
  <si>
    <t xml:space="preserve">Loveland</t>
  </si>
  <si>
    <t xml:space="preserve">2009 (as ACTS LLC) / 2022 (current entity)</t>
  </si>
  <si>
    <t xml:space="preserve">RECURRING today, but ORIGIN as home-user support (residential legacy tail possible)</t>
  </si>
  <si>
    <t xml:space="preserve">'Jeff' (CEO, CISSP/CISA — surname not found)</t>
  </si>
  <si>
    <t xml:space="preserve">B2B (current positioning), Loveland/Fort Collins</t>
  </si>
  <si>
    <t xml:space="preserve">'25+ years experience' claimed (unverified); murky entity history (ACTS LLC -&gt; partnership 2022) complicates true-age assessment</t>
  </si>
  <si>
    <t xml:space="preserve">Legitimate B2B positioning today with a credentialed owner, but needs diligence to separate the 17-yr operating narrative from the 4-yr legal entity fact</t>
  </si>
  <si>
    <t xml:space="preserve">Summit Net Trekker LLC</t>
  </si>
  <si>
    <t xml:space="preserve">Breckenridge</t>
  </si>
  <si>
    <t xml:space="preserve">Small — no hard number</t>
  </si>
  <si>
    <t xml:space="preserve">MIXED — small-business IT consulting/MSP PLUS data recovery and laptop repair</t>
  </si>
  <si>
    <t xml:space="preserve">Daniel 'Bud' Robinson III</t>
  </si>
  <si>
    <t xml:space="preserve">Small businesses, Breckenridge/Summit County</t>
  </si>
  <si>
    <t xml:space="preserve">25-year-old company — strong tenure signal, age unknown</t>
  </si>
  <si>
    <t xml:space="preserve">Long tenure is a positive, but consumer-repair mix dilutes the recurring-revenue thesis; verify % contract vs. one-off repair</t>
  </si>
  <si>
    <t xml:space="preserve">Roaring Fork Help Desk, Inc.</t>
  </si>
  <si>
    <t xml:space="preserve">Glenwood Springs</t>
  </si>
  <si>
    <t xml:space="preserve">2006 (site) or 2015 (LinkedIn) — CONFLICTING</t>
  </si>
  <si>
    <t xml:space="preserve">MIXED — help desk/MSP work PLUS 'computer repair and virus removal' consumer-adjacent language</t>
  </si>
  <si>
    <t xml:space="preserve">Matthew McBrayer (President/Founder)</t>
  </si>
  <si>
    <t xml:space="preserve">Aspen, Snowmass Village, Basalt, Carbondale, Glenwood Springs — affluent resort-corridor SMBs and individuals</t>
  </si>
  <si>
    <t xml:space="preserve">15+ yrs IT experience (inference); also hosts a local radio tech show — community fixture</t>
  </si>
  <si>
    <t xml:space="preserve">Family-run, long local roots in an affluent resort market, but consumer-repair blend and founding-date conflict need resolving</t>
  </si>
  <si>
    <t xml:space="preserve">OliveTech LLC</t>
  </si>
  <si>
    <t xml:space="preserve">Berthoud</t>
  </si>
  <si>
    <t xml:space="preserve">Very small — residential address</t>
  </si>
  <si>
    <t xml:space="preserve">Managed IT + cybersecurity for professional-services firms; also agriculture/livestock IT</t>
  </si>
  <si>
    <t xml:space="preserve">Todd Hebebrand (also co-owns 'Berthoud IT')</t>
  </si>
  <si>
    <t xml:space="preserve">B2B, Fort Collins/Loveland/Berthoud/Northern CO</t>
  </si>
  <si>
    <t xml:space="preserve">Prior co-owner of 'Onix IT'; career-experienced but this entity is only ~5 years old</t>
  </si>
  <si>
    <t xml:space="preserve">Real B2B recurring book but very young entity, and owner appears to run a parallel venture — unclear which is the primary book</t>
  </si>
  <si>
    <t xml:space="preserve">Low-Medium</t>
  </si>
  <si>
    <t xml:space="preserve">Christopher Thomas Parker (Owner) &amp; David Turner (Technical Director)</t>
  </si>
  <si>
    <t xml:space="preserve">2-5 (est.)</t>
  </si>
  <si>
    <t xml:space="preserve">MSP — 'business class computer and network support', positioned as recurring managed services</t>
  </si>
  <si>
    <t xml:space="preserve">B2B, Western Slope</t>
  </si>
  <si>
    <t xml:space="preserve">5-year-old firm; Parker is a career Army aviation officer transitioning into IT (2nd-career founder, still studying) — growth mode not exit mode</t>
  </si>
  <si>
    <t xml:space="preserve">Right model and geographic moat, but too young and founder profile suggests growth, not a retirement-window exit</t>
  </si>
  <si>
    <t xml:space="preserve">Ramdyne Technology LLC</t>
  </si>
  <si>
    <t xml:space="preserve">1 (ZoomInfo/D&amp;B, ~$192K rev)</t>
  </si>
  <si>
    <t xml:space="preserve">Managed/recurring — network security, backup/recovery, hosted Exchange, remote support, phones</t>
  </si>
  <si>
    <t xml:space="preserve">Phil McNeal</t>
  </si>
  <si>
    <t xml:space="preserve">SMB, Fort Collins/Loveland/Greeley/Windsor</t>
  </si>
  <si>
    <t xml:space="preserve">19 years running the firm — age unknown</t>
  </si>
  <si>
    <t xml:space="preserve">Genuine recurring book but severe key-person risk at headcount 1; verify book size before pursuing</t>
  </si>
  <si>
    <t xml:space="preserve">Integrity Technologies</t>
  </si>
  <si>
    <t xml:space="preserve">Strongly recurring — help desk, cybersecurity, cloud, compliance; CPA/legal/wealth-mgmt/medical verticals</t>
  </si>
  <si>
    <t xml:space="preserve">B2B, vertical-specialized (compliance-heavy)</t>
  </si>
  <si>
    <t xml:space="preserve">10-year-old firm, owner unidentified</t>
  </si>
  <si>
    <t xml:space="preserve">Strong vertical MSP model but owner unidentified and company relatively young — needs direct outreach to confirm exit readiness</t>
  </si>
  <si>
    <t xml:space="preserve">MDL Consulting Inc.</t>
  </si>
  <si>
    <t xml:space="preserve">Silverthorne (Summit County)</t>
  </si>
  <si>
    <t xml:space="preserve">8</t>
  </si>
  <si>
    <t xml:space="preserve">PRIMARILY consumer/residential repair — 'family owned and operated computer repair company'</t>
  </si>
  <si>
    <t xml:space="preserve">Family-owned; individual name not confirmed</t>
  </si>
  <si>
    <t xml:space="preserve">Mountain communities (Breckenridge, Copper, Dillon, Frisco, Keystone, Silverthorne)</t>
  </si>
  <si>
    <t xml:space="preserve">25-year-old firm</t>
  </si>
  <si>
    <t xml:space="preserve">Consumer-repair framing despite long tenure and decent headcount — likely thin or nonexistent recurring book</t>
  </si>
  <si>
    <t xml:space="preserve">Colorado Computers</t>
  </si>
  <si>
    <t xml:space="preserve">South Denver / Parker / Castle Rock / Highlands Ranch</t>
  </si>
  <si>
    <t xml:space="preserve">Unknown — small/near-solo</t>
  </si>
  <si>
    <t xml:space="preserve">EXPLICITLY consumer/residential-leaning — on-site/in-home repair, virus removal, data recovery, training</t>
  </si>
  <si>
    <t xml:space="preserve">Charlie Dunham (Electrical Engineer by training)</t>
  </si>
  <si>
    <t xml:space="preserve">Mixed SMB and consumer</t>
  </si>
  <si>
    <t xml:space="preserve">29-year owner-operator — one of the longest tenures found, but service mix is consumer-repair-dominated</t>
  </si>
  <si>
    <t xml:space="preserve">Very long tenure (attractive signal) undercut by consumer-repair-dominated marketing — treat as low priority unless outreach reveals an unadvertised B2B book</t>
  </si>
  <si>
    <t xml:space="preserve">Simply Tech</t>
  </si>
  <si>
    <t xml:space="preserve">Castle Rock</t>
  </si>
  <si>
    <t xml:space="preserve">Unknown — very small</t>
  </si>
  <si>
    <t xml:space="preserve">EXPLICITLY consumer/residential repair — 'on-site and takeaway based computer and tech repair'</t>
  </si>
  <si>
    <t xml:space="preserve">Mixed individual/consumer and small business</t>
  </si>
  <si>
    <t xml:space="preserve">9-year-old firm, owner unidentified</t>
  </si>
  <si>
    <t xml:space="preserve">Consumer-repair business model, too young, owner unidentified — poor tuck-in fit</t>
  </si>
  <si>
    <t xml:space="preserve">My Computer Guy LLC</t>
  </si>
  <si>
    <t xml:space="preserve">Unknown — solo/very small</t>
  </si>
  <si>
    <t xml:space="preserve">Branding signals consumer/residential and handyman-IT positioning — hardware, low-voltage/security installs, cloud</t>
  </si>
  <si>
    <t xml:space="preserve">Lenny Griffin</t>
  </si>
  <si>
    <t xml:space="preserve">Unclear, likely mixed consumer/small business</t>
  </si>
  <si>
    <t xml:space="preserve">16 years as this entity; owner claims 20+ yrs personal career</t>
  </si>
  <si>
    <t xml:space="preserve">'Computer guy' consumer-facing model rather than recurring B2B managed-services book — low roll-up value despite reasonable tenure</t>
  </si>
  <si>
    <t xml:space="preserve">SpeedWise IT Services</t>
  </si>
  <si>
    <t xml:space="preserve">Northglenn</t>
  </si>
  <si>
    <t xml:space="preserve">2-3 (BBB) — at or below size floor</t>
  </si>
  <si>
    <t xml:space="preserve">RECURRING — VoIP, managed IT, IT consulting, cybersecurity, cloud migration</t>
  </si>
  <si>
    <t xml:space="preserve">Eric Frickell (owner)</t>
  </si>
  <si>
    <t xml:space="preserve">Small businesses, Northglenn/Denver metro</t>
  </si>
  <si>
    <t xml:space="preserve">22-year operating history, single small owner — classic small lifestyle-business profile</t>
  </si>
  <si>
    <t xml:space="preserve">Very small but 22-yr locally-owned BBB A+ history is a plausible cheap tuck-in despite marginal size</t>
  </si>
  <si>
    <t xml:space="preserve">BBB A+; genuine local HQ, not a satellite office</t>
  </si>
  <si>
    <t xml:space="preserve">Waypoint Technology Solutions</t>
  </si>
  <si>
    <t xml:space="preserve">Erie</t>
  </si>
  <si>
    <t xml:space="preserve">5-9 (ZoomInfo)</t>
  </si>
  <si>
    <t xml:space="preserve">Help desk, network/server/cloud, cybersecurity, IT project consulting — appears B2B</t>
  </si>
  <si>
    <t xml:space="preserve">Not identified in this pass</t>
  </si>
  <si>
    <t xml:space="preserve">Colorado Front Range and beyond (unspecified)</t>
  </si>
  <si>
    <t xml:space="preserve">14 years operating with near-ZERO review/marketing footprint (0 reviews on Facebook and Birdeye) — inference of a steady-state, low-growth lifestyle business</t>
  </si>
  <si>
    <t xml:space="preserve">Genuine local Erie HQ (rare in this pass — most 'Erie' results were satellite/national); thin marketing footprint is itself a soft signal worth a direct call</t>
  </si>
  <si>
    <t xml:space="preserve">0 reviews found despite 14 yrs — verify this is not a wind-down</t>
  </si>
  <si>
    <t xml:space="preserve">ITGuys (mynewitguys.com)</t>
  </si>
  <si>
    <t xml:space="preserve">Denver / Lakewood</t>
  </si>
  <si>
    <t xml:space="preserve">11-50 (ZoomInfo) — may exceed tuck-in range</t>
  </si>
  <si>
    <t xml:space="preserve">Managed IT, on-site computer support for small businesses; notable community angle (refurbishes recycled laptops for donation)</t>
  </si>
  <si>
    <t xml:space="preserve">Small businesses; serves Westminster via dedicated page</t>
  </si>
  <si>
    <t xml:space="preserve">17 years operating; owner unidentified</t>
  </si>
  <si>
    <t xml:space="preserve">Real MSP with a positive community story, but conflicting HQ claims (downtown Denver vs. Lakewood) and unidentified owner need resolving first</t>
  </si>
  <si>
    <t xml:space="preserve">Workplace IT</t>
  </si>
  <si>
    <t xml:space="preserve">Arvada / Denver (HQ conflicting across own sourcing)</t>
  </si>
  <si>
    <t xml:space="preserve">2 (one aggregator) — very small</t>
  </si>
  <si>
    <t xml:space="preserve">Managed IT, cybersecurity, IT compliance (CMMC/ITAR/FISMA/FINRA), VoIP, cloud, structured cabling</t>
  </si>
  <si>
    <t xml:space="preserve">Jason Canon (per aggregator; unverified)</t>
  </si>
  <si>
    <t xml:space="preserve">Front Range Fort Collins-to-Castle Rock (claimed)</t>
  </si>
  <si>
    <t xml:space="preserve">Site claims '10+ years in Denver' which conflicts with a 2016 founding date — unresolved discrepancy</t>
  </si>
  <si>
    <t xml:space="preserve">Real compliance-forward service mix, but HQ location and founding date both internally inconsistent — verify directly before any outreach</t>
  </si>
  <si>
    <t xml:space="preserve">4.7 (14 Google, per a competitor citation — secondary source)</t>
  </si>
  <si>
    <t xml:space="preserve">Micro tuck-in pricing (from 2025-26 market benchmarks - see Acquirers tab):</t>
  </si>
  <si>
    <t xml:space="preserve">Sub-$1M revenue: 3.0-5.0x SDE. Contracted-MRR micro-MSPs price toward the top of that band; consumer/break-fix books toward the bottom. Typical structure: 65-85% cash at close, 5-15% seller note (Prime+2-4%, often PIK), 5-20% earnout tied to MRR retention over 12-24 months.</t>
  </si>
  <si>
    <t xml:space="preserve">Colorado's micro-market is thinner than the Triangle's but shows real activity: Networks Unlimited (Grand Junction) bought 307 Tech Pros in Casper WY (Sep 2025), and it is itself a plausible buyer for Western Slope micro-books. No confirmed acquisition of a Denver-metro or Colorado Springs micro-shop (&lt;10 staff) was found in this pass - that segment appears genuinely under-consolidated.</t>
  </si>
  <si>
    <t xml:space="preserve">NOTE: this tab draws on a targeted 30-shop sweep plus a separate Boulder-focused enrichment pass - check the file date/version for the latest state. Colorado has hundreds of micro IT shops statewide; this is a sample, not an exhaustive census.</t>
  </si>
  <si>
    <t xml:space="preserve">Acquirer</t>
  </si>
  <si>
    <t xml:space="preserve">HQ</t>
  </si>
  <si>
    <t xml:space="preserve">Type</t>
  </si>
  <si>
    <t xml:space="preserve">Ownership / sponsor</t>
  </si>
  <si>
    <t xml:space="preserve">Colorado deals (date)</t>
  </si>
  <si>
    <t xml:space="preserve">Wider footprint &amp; recent deals</t>
  </si>
  <si>
    <t xml:space="preserve">Appetite / criteria</t>
  </si>
  <si>
    <t xml:space="preserve">Actively acquiring?</t>
  </si>
  <si>
    <t xml:space="preserve">New Charter Technologies</t>
  </si>
  <si>
    <t xml:space="preserve">Denver, CO — HOME MARKET</t>
  </si>
  <si>
    <t xml:space="preserve">Permanent-capital holdco / decentralized 'equity partnership' platform (operators keep equity, retain brand/autonomy)</t>
  </si>
  <si>
    <t xml:space="preserve">Oval Partners (small team, ~5-6 partners)</t>
  </si>
  <si>
    <t xml:space="preserve">Greystone Technology, Denver (Aug 21 2020) — sole confirmed CO deal; Greystone's Peter Melby is now CEO of New Charter itself</t>
  </si>
  <si>
    <t xml:space="preserve">22-30+ 'OpCo' partner firms across 28+ cities NA; CRN MSP 500 Elite 150; Inc 5000 #1986 (2025); recent: CyberTrust IT Solutions (May 2026), NetSource One (MI, Jan 2026), ProTech IT Solutions (NY, Jan 2025), Orchestrate AI Labs (Feb 2025)</t>
  </si>
  <si>
    <t xml:space="preserve">Mature, highly profitable MSPs (~20% EBITDA margins in founding cohort); CEO Peter Melby expects an 'active first half' of 2026</t>
  </si>
  <si>
    <t xml:space="preserve">YES — the home-market platform; no 2nd CO deal since Greystone (2020) despite being HQ'd here, which is itself notable</t>
  </si>
  <si>
    <t xml:space="preserve">Dataprise</t>
  </si>
  <si>
    <t xml:space="preserve">Rockville, MD</t>
  </si>
  <si>
    <t xml:space="preserve">PE platform</t>
  </si>
  <si>
    <t xml:space="preserve">Trinity Hunt Partners (since Jan 2020)</t>
  </si>
  <si>
    <t xml:space="preserve">PEI, Boulder (Nov 1 2023) — EXPLICITLY framed as Dataprise's entry into the Colorado market</t>
  </si>
  <si>
    <t xml:space="preserve">~$130M+ revenue; 10 acquisitions, most active single acquirer of 2024; CEO David Eisner</t>
  </si>
  <si>
    <t xml:space="preserve">Market-entry acquisitions in new metros; mid-Atlantic base expanding west</t>
  </si>
  <si>
    <t xml:space="preserve">YES — Boulder is a stated new-market entry, watch for CO follow-ons</t>
  </si>
  <si>
    <t xml:space="preserve">Ntiva</t>
  </si>
  <si>
    <t xml:space="preserve">McLean, VA</t>
  </si>
  <si>
    <t xml:space="preserve">PSP Capital (Penny Pritzker family office)</t>
  </si>
  <si>
    <t xml:space="preserve">Navakai, Colorado Springs (Oct 1 2021) — now Ntiva's 'Rocky Mountain regional hub'</t>
  </si>
  <si>
    <t xml:space="preserve">800+ professionals; The Purple Guys (Apr 2024), Site Tech Services (Sep 2025)</t>
  </si>
  <si>
    <t xml:space="preserve">SMB/mid-market pure-play MSPs; vertical expertise adds; uses regional hubs as expansion anchors</t>
  </si>
  <si>
    <t xml:space="preserve">YES — Colorado Springs is an established regional hub, a likely base for further CO deals</t>
  </si>
  <si>
    <t xml:space="preserve">Meriplex</t>
  </si>
  <si>
    <t xml:space="preserve">Houston, TX</t>
  </si>
  <si>
    <t xml:space="preserve">Vitruvian Partners (majority since Jul 2022); Clairvest Group retains minority</t>
  </si>
  <si>
    <t xml:space="preserve">Optimum Networking, Aurora (Nov 2021) — Meriplex's Colorado branch/entry point</t>
  </si>
  <si>
    <t xml:space="preserve">13 acquisitions since 2018; also acquired Reliable IT (healthcare/financial vertical)</t>
  </si>
  <si>
    <t xml:space="preserve">Regional MSP branches; founder/CEO David Henley continues to run the business</t>
  </si>
  <si>
    <t xml:space="preserve">YES</t>
  </si>
  <si>
    <t xml:space="preserve">Applied Tech (Heartland Business Systems chain)</t>
  </si>
  <si>
    <t xml:space="preserve">Madison, WI</t>
  </si>
  <si>
    <t xml:space="preserve">Multi-layer PE chain: GenNx360 Capital Partners → Heartland Business Systems → Applied Tech</t>
  </si>
  <si>
    <t xml:space="preserve">GenNx360 Capital Partners acquired HBS Oct 2025; Applied Tech is HBS's FIRST add-on since that deal (~Apr 2026)</t>
  </si>
  <si>
    <t xml:space="preserve">Absorbed Platte River Networks (Denver, MSP 501/CRN MSP 500 honoree) into its brand, early 2023; CO office in Lafayette/Boulder</t>
  </si>
  <si>
    <t xml:space="preserve">SOC 2 Type 2, Microsoft Gold Partner shops; regional footprint expansion</t>
  </si>
  <si>
    <t xml:space="preserve">YES — fresh PE capital (GenNx360) behind a stated Rocky Mountain push</t>
  </si>
  <si>
    <t xml:space="preserve">Greenwood Village, CO</t>
  </si>
  <si>
    <t xml:space="preserve">ABRY Partners (with Alvarez &amp; Marsal Capital) since Dec 13 2017, from Lightview Capital</t>
  </si>
  <si>
    <t xml:space="preserve">HQ'd in Colorado; merged with Breakthrough Technology Group Apr 2018 (its 4th M&amp;A deal in &lt;4 yrs)</t>
  </si>
  <si>
    <t xml:space="preserve">~356 employees, 1,000+ customers, 44 states; still ABRY-owned in 2026, no ownership change found</t>
  </si>
  <si>
    <t xml:space="preserve">National MSP for SMB</t>
  </si>
  <si>
    <t xml:space="preserve">MODERATE — 9-yr ABRY hold is beyond a typical 5-7yr window, an exit may be due (inference)</t>
  </si>
  <si>
    <t xml:space="preserve">Harbor IT (via Worklyn Partners)</t>
  </si>
  <si>
    <t xml:space="preserve">New York, NY</t>
  </si>
  <si>
    <t xml:space="preserve">Growth-capital-backed platform (brand umbrella)</t>
  </si>
  <si>
    <t xml:space="preserve">Worklyn Partners</t>
  </si>
  <si>
    <t xml:space="preserve">Noynim IT Solutions, Denver (Jun 6 2023) — acquired directly by Worklyn, folded into the Harbor IT brand umbrella</t>
  </si>
  <si>
    <t xml:space="preserve">Portfolio also includes Harbor Networks, Quadrant InfoSec</t>
  </si>
  <si>
    <t xml:space="preserve">Regulated/critical/complex environments; life sciences &amp; critical infrastructure</t>
  </si>
  <si>
    <t xml:space="preserve">YES nationally; watch for further Denver-area folding into the brand</t>
  </si>
  <si>
    <t xml:space="preserve">Sourcepass</t>
  </si>
  <si>
    <t xml:space="preserve">Jericho, NY</t>
  </si>
  <si>
    <t xml:space="preserve">Funded platform ($135M+ raised)</t>
  </si>
  <si>
    <t xml:space="preserve">Institutional backing; sponsor not fully verified</t>
  </si>
  <si>
    <t xml:space="preserve">machineLOGIC, Englewood (closed May 30 2023) — explicitly framed as expansion into the 'Western US region'</t>
  </si>
  <si>
    <t xml:space="preserve">500+ staff, 2,000+ clients, 13 acquisitions since 2022</t>
  </si>
  <si>
    <t xml:space="preserve">Western US region a deliberate growth target, not incidental</t>
  </si>
  <si>
    <t xml:space="preserve">Integris</t>
  </si>
  <si>
    <t xml:space="preserve">Cranbury, NJ (was Denver-adjacent via Compudyne lineage)</t>
  </si>
  <si>
    <t xml:space="preserve">OMERS Private Equity (deal announced Dec 3 2024, closed Dec 30 2024; ex-Frontenac)</t>
  </si>
  <si>
    <t xml:space="preserve">Boulder, CO location traces through Compudyne (MN) → 2021 four-way merger forming Integris → now OMERS-owned; office at 2941 W 19th Ave, Denver</t>
  </si>
  <si>
    <t xml:space="preserve">600+ employees nationwide; TechMD + 1nteger Security (Jun 2025) — largest to date</t>
  </si>
  <si>
    <t xml:space="preserve">East Coast/Midwest/South + CO/MI/MN footprint</t>
  </si>
  <si>
    <t xml:space="preserve">IronEdge Group (The Riverside Company)</t>
  </si>
  <si>
    <t xml:space="preserve">The Riverside Company</t>
  </si>
  <si>
    <t xml:space="preserve">ProVelocity, Grand Junction (merger closed Feb 2023); combined entity then acquired LANstar LLC (AZ, Jul 20 2023)</t>
  </si>
  <si>
    <t xml:space="preserve">Regional MSP consolidation via merger-of-equals structure</t>
  </si>
  <si>
    <t xml:space="preserve">Vertilocity (HBK)</t>
  </si>
  <si>
    <t xml:space="preserve">Pittsburgh, PA (Denver/Greenwood Village office)</t>
  </si>
  <si>
    <t xml:space="preserve">Trade buyer — CPA-firm-owned MSP model, NOT PE</t>
  </si>
  <si>
    <t xml:space="preserve">HBK (accounting/advisory firm, Youngstown OH)</t>
  </si>
  <si>
    <t xml:space="preserve">Formed 2021 via HBK's acquisition of Vertical Solutions (Pittsburgh, with Denver presence); operates from Pittsburgh, Clark NJ, and Greenwood Village CO</t>
  </si>
  <si>
    <t xml:space="preserve">Combined est. ~$10M gross revenue at merger (dated figure)</t>
  </si>
  <si>
    <t xml:space="preserve">Unusual acquirer type — accounting firms buying MSPs to bundle IT with advisory services</t>
  </si>
  <si>
    <t xml:space="preserve">UNCERTAIN — no new deal activity found since 2021</t>
  </si>
  <si>
    <t xml:space="preserve">Trace3</t>
  </si>
  <si>
    <t xml:space="preserve">Irvine, CA</t>
  </si>
  <si>
    <t xml:space="preserve">Strategic integrator</t>
  </si>
  <si>
    <t xml:space="preserve">Not disclosed (has done multiple government-vertical acquisitions)</t>
  </si>
  <si>
    <t xml:space="preserve">Zivaro, Denver (Dec 19 2024) — forms 'Trace3 Government' (T3G) vertical</t>
  </si>
  <si>
    <t xml:space="preserve">~200-employee Zivaro is the founding building block of T3G; full integration targeted Q2 2025</t>
  </si>
  <si>
    <t xml:space="preserve">Government/public-sector, critical-infrastructure MSPs</t>
  </si>
  <si>
    <t xml:space="preserve">YES — Denver-based Zivaro is now the anchor of an entire new vertical</t>
  </si>
  <si>
    <t xml:space="preserve">All Copy Products</t>
  </si>
  <si>
    <t xml:space="preserve">Denver, CO</t>
  </si>
  <si>
    <t xml:space="preserve">Trade/strategic buyer (office-equipment dealer), NOT PE</t>
  </si>
  <si>
    <t xml:space="preserve">Independent, Denver-based</t>
  </si>
  <si>
    <t xml:space="preserve">Verticomm, Denver + Grand Junction branch (Sep 15 2015)</t>
  </si>
  <si>
    <t xml:space="preserve">Largest independent office-equipment dealer in Colorado; acquisition-fueled growth strategy</t>
  </si>
  <si>
    <t xml:space="preserve">Bundles managed IT with print/office equipment</t>
  </si>
  <si>
    <t xml:space="preserve">UNCERTAIN — no new MSP deal found since 2015, but a real local strategic buyer type to know</t>
  </si>
  <si>
    <t xml:space="preserve">Networks Unlimited</t>
  </si>
  <si>
    <t xml:space="preserve">Grand Junction, CO — LOCAL RIVAL BUYER</t>
  </si>
  <si>
    <t xml:space="preserve">Independent strategic acquirer (no PE sponsor found)</t>
  </si>
  <si>
    <t xml:space="preserve">Owner-operated (Mark Swain)</t>
  </si>
  <si>
    <t xml:space="preserve">Acquired 307 Tech Pros, Casper WY (~Sep 2025) — its first out-of-state deal</t>
  </si>
  <si>
    <t xml:space="preserve">35+ staff, MSP 501, Inc. 5000; itself the largest independent Western Slope MSP</t>
  </si>
  <si>
    <t xml:space="preserve">Small MSPs in adjacent/frontier markets; owner Kyle Gamroth retained as Partner Success Manager</t>
  </si>
  <si>
    <t xml:space="preserve">YES — treat as a RIVAL BIDDER for any Western Slope/Mountain West micro-deal, not just a target</t>
  </si>
  <si>
    <t xml:space="preserve">Evergreen Services Group / Lyra</t>
  </si>
  <si>
    <t xml:space="preserve">San Francisco, CA (Lyra: Chicago)</t>
  </si>
  <si>
    <t xml:space="preserve">Permanent-capital holdco (buy-and-hold forever, brands kept)</t>
  </si>
  <si>
    <t xml:space="preserve">Alpine Investors</t>
  </si>
  <si>
    <t xml:space="preserve">No confirmed direct CO MSP acquisition found; Cedar Solutions Group (Evergreen/Alpine-backed GOVERNMENT-services holdco, adjacent not classic MSP) is HQ'd in Denver</t>
  </si>
  <si>
    <t xml:space="preserve">100+ cumulative MSP acquisitions (100th ~Jun 2025); Lyra alone did 33 in 2025, reached $1B ARR mid-2025; targeting $5B revenue by 2030</t>
  </si>
  <si>
    <t xml:space="preserve">Founder exits, fastest closes in the industry (&lt;90 days); has visible Denver ecosystem presence via Pax8 Beyond conference</t>
  </si>
  <si>
    <t xml:space="preserve">WATCH — highest-volume acquirer in the industry nationally, no CO MSP deal yet but Denver ties exist</t>
  </si>
  <si>
    <t xml:space="preserve">The 20 MSP</t>
  </si>
  <si>
    <t xml:space="preserve">Plano, TX</t>
  </si>
  <si>
    <t xml:space="preserve">Founder-led co-op roll-up — NO private equity</t>
  </si>
  <si>
    <t xml:space="preserve">Founder-owned; bank-debt financed</t>
  </si>
  <si>
    <t xml:space="preserve">UNRESOLVED — could not confirm a specific Colorado member location in this research pass</t>
  </si>
  <si>
    <t xml:space="preserve">180+ locations nationwide, member-owned single-support-desk model</t>
  </si>
  <si>
    <t xml:space="preserve">~$1-5M 'million-dollar MSPs'; zero earnouts</t>
  </si>
  <si>
    <t xml:space="preserve">UNCERTAIN — flag for a direct site-crawl follow-up if relevant</t>
  </si>
  <si>
    <t xml:space="preserve">Thrive Networks</t>
  </si>
  <si>
    <t xml:space="preserve">Foxborough, MA</t>
  </si>
  <si>
    <t xml:space="preserve">Court Square Capital + Berkshire Partners</t>
  </si>
  <si>
    <t xml:space="preserve">None found — no Colorado presence or acquisition identified</t>
  </si>
  <si>
    <t xml:space="preserve">~$400M revenue; Northeast/Mid-Atlantic, growing Mid-South &amp; Texas focus</t>
  </si>
  <si>
    <t xml:space="preserve">Cyber/cloud/compliance-heavy mid-market</t>
  </si>
  <si>
    <t xml:space="preserve">NOT CURRENTLY ACTIVE in Colorado per this research pass</t>
  </si>
  <si>
    <t xml:space="preserve">Corsica Technologies</t>
  </si>
  <si>
    <t xml:space="preserve">Greenville, SC / Centreville, MD</t>
  </si>
  <si>
    <t xml:space="preserve">PE-backed</t>
  </si>
  <si>
    <t xml:space="preserve">Inverness Graham</t>
  </si>
  <si>
    <t xml:space="preserve">None found — no Colorado presence identified</t>
  </si>
  <si>
    <t xml:space="preserve">AccountabilIT, Scottsdale AZ (Nov 12 2025) — doubled Corsica's capacity</t>
  </si>
  <si>
    <t xml:space="preserve">Midwest/Southeast/Mid-Atlantic coverage</t>
  </si>
  <si>
    <t xml:space="preserve">VC3 / Logically / Coretelligent / Magna5 / TierPoint</t>
  </si>
  <si>
    <t xml:space="preserve">Various</t>
  </si>
  <si>
    <t xml:space="preserve">PE platforms named by advisory reports as active MSP consolidators</t>
  </si>
  <si>
    <t xml:space="preserve">Nautic Partners (VC3); The Riverside Company (Logically); Norwest Equity Partners (Coretelligent); sponsor unconfirmed (Magna5, recap in progress)</t>
  </si>
  <si>
    <t xml:space="preserve">NONE found with a confirmed Colorado deal in this research pass</t>
  </si>
  <si>
    <t xml:space="preserve">Nationally active consolidators</t>
  </si>
  <si>
    <t xml:space="preserve">Watch list — no CO footprint verified</t>
  </si>
  <si>
    <t xml:space="preserve">UNCERTAIN — TierPoint flagged Denver as a market of interest per trade press, but no completed deal found</t>
  </si>
  <si>
    <t xml:space="preserve">VALUATION BENCHMARKS (2025-26) — from CT Acquisitions 'IT &amp; Managed Services M&amp;A Multiples 2026' and companion PE guide (third-party advisory reports — treat as industry-aggregated estimates, not verified transaction-specific data)</t>
  </si>
  <si>
    <t xml:space="preserve">EBITDA/SDE multiples by size: sub-$1M revenue 3.0-5.0x SDE | $1-3M revenue 5.0-7.0x adj. EBITDA (peak 2020-22: 5.5-7.5x) | $3-10M revenue 6.0-9.0x EBITDA (peak: 7.0-10.0x) | $10-25M revenue (platform-scale) MSP 9.0-13.0x / MSSP 11.0-15.0x | $25M+ revenue: large MSP 10.0-14.0x / MSSP 12.0-16.0x, cyber-heavy exits up to ~20x ceiling.</t>
  </si>
  <si>
    <t xml:space="preserve">Recurring-revenue effect is described as 'the single largest multiple-driver': each 10-point MRR increase above the Datto-reported industry median (62%) correlates with ~0.75-1.25x multiple expansion. &lt;40% MRR = floor pricing; ~60% MRR = threshold for 'durable managed-services franchise' perception; 80%+ MRR trades near top of size-band range. 24+ month contracts add ~1x; &gt;10% annual churn cuts 1-3x. High-MRR/low-margin can still price BELOW lower-MRR/high-margin peers.</t>
  </si>
  <si>
    <t xml:space="preserve">Deal structure norms: cash at close 65-85% of EV (strategic/PE buyer) or 60-80% (financial buyer); seller notes 5-15% of EV, Prime+2-4%, 3-5yr term, often PIK; earnouts 12-24 months, 5-20% of EV tied to MRR retention (90%+ retention = full payout, &lt;80% typically zeroes it); rollover equity 10-30% of pre-close equity value, same EV as buyer, vesting uncommon.</t>
  </si>
  <si>
    <t xml:space="preserve">Regional pricing (Denver/Front Range/Mountain West vs. coastal metros): NO explicit regional multiple data was found in any source. One signal: the CT Acquisitions report names a tier-1-metro premium list (NYC, SF Bay, Chicago, LA, Boston, Seattle, DC) that does NOT include Denver — suggesting Denver may be implicitly treated as tier-2/non-premium by that source, but this is an INFERENCE, not a stated data point. A Denver M&amp;A boutique (e.g. Class VI Partners, which advised the Zivaro/Trace3 deal) would have direct regional-pricing insight if precision is needed.</t>
  </si>
  <si>
    <t xml:space="preserve">MOST LIKELY RIVAL BIDDERS for a Colorado target, ranked by demonstrated local intent: 1) New Charter Technologies (Denver HOME MARKET, but only 1 CO deal since 2020 — notable restraint) 2) Dataprise (Boulder is a stated new-market entry) 3) Ntiva (Colorado Springs is an established regional hub) 4) Meriplex (Aurora branch) 5) Applied Tech/HBS chain (fresh GenNx360 capital, stated Rocky Mountain push). Networks Unlimited (Grand Junction) is a RIVAL BUYER for Western Slope/Mountain West micro-deals, not just a target. Rows highlighted pink have already closed a Colorado deal.</t>
  </si>
  <si>
    <t xml:space="preserve">Target</t>
  </si>
  <si>
    <t xml:space="preserve">Approx. size at deal</t>
  </si>
  <si>
    <t xml:space="preserve">Buyer / structure</t>
  </si>
  <si>
    <t xml:space="preserve">Buyer type</t>
  </si>
  <si>
    <t xml:space="preserve">Date</t>
  </si>
  <si>
    <t xml:space="preserve">Notes</t>
  </si>
  <si>
    <t xml:space="preserve">~10-25 employees</t>
  </si>
  <si>
    <t xml:space="preserve">Anson Pierce &amp; Martin Jensen (out-of-state operator group, 2 FL tech firms)</t>
  </si>
  <si>
    <t xml:space="preserve">Independent operator group, culture-preserving deal</t>
  </si>
  <si>
    <t xml:space="preserve">Nov 11 2025</t>
  </si>
  <si>
    <t xml:space="preserve">20-yr owner Nathan Wallace sold; two daughters' continued employment was a deal condition — clearest exit comparable in the state</t>
  </si>
  <si>
    <t xml:space="preserve">Noynim IT Solutions</t>
  </si>
  <si>
    <t xml:space="preserve">375+ staff post-deal (parent-level)</t>
  </si>
  <si>
    <t xml:space="preserve">Worklyn Partners (growth capital) — folded into the 'Harbor IT' brand umbrella</t>
  </si>
  <si>
    <t xml:space="preserve">Growth-capital acquirer; brand absorbed</t>
  </si>
  <si>
    <t xml:space="preserve">Jun 6 2023</t>
  </si>
  <si>
    <t xml:space="preserve">CORRECTED: acquired directly by Worklyn Partners, not by 'Harbor IT' as a separate acquirer; noynim.com redirects to harborit.noynim.com</t>
  </si>
  <si>
    <t xml:space="preserve">~250 CO clients; 20-40 employees (est.)</t>
  </si>
  <si>
    <t xml:space="preserve">Dataprise (Trinity Hunt Partners)</t>
  </si>
  <si>
    <t xml:space="preserve">PE platform — market-entry acquisition</t>
  </si>
  <si>
    <t xml:space="preserve">Nov 1 2023</t>
  </si>
  <si>
    <t xml:space="preserve">Explicitly framed as Dataprise's entry INTO the Colorado market; President Tim Krueger quoted</t>
  </si>
  <si>
    <t xml:space="preserve">Ntiva (PSP Capital / Pritzker family office)</t>
  </si>
  <si>
    <t xml:space="preserve">Oct 1 2021</t>
  </si>
  <si>
    <t xml:space="preserve">Founders Shawn Morland &amp; Davin Neubacher; now Ntiva's 'Rocky Mountain regional hub'</t>
  </si>
  <si>
    <t xml:space="preserve">Meriplex (Vitruvian Partners)</t>
  </si>
  <si>
    <t xml:space="preserve">Nov 2021</t>
  </si>
  <si>
    <t xml:space="preserve">307 Tech Pros (buyer note)</t>
  </si>
  <si>
    <t xml:space="preserve">Casper WY target; Grand Junction buyer</t>
  </si>
  <si>
    <t xml:space="preserve">Small MSP</t>
  </si>
  <si>
    <t xml:space="preserve">Networks Unlimited (Grand Junction) — itself the buyer, no PE sponsor found</t>
  </si>
  <si>
    <t xml:space="preserve">Independent strategic acquirer</t>
  </si>
  <si>
    <t xml:space="preserve">~Sep 2025</t>
  </si>
  <si>
    <t xml:space="preserve">Networks Unlimited's first out-of-state deal; owner Kyle Gamroth stayed on; watch as a RIVAL BUYER for Western Slope/Mountain West targets</t>
  </si>
  <si>
    <t xml:space="preserve">machineLOGIC</t>
  </si>
  <si>
    <t xml:space="preserve">PE-backed national roll-up</t>
  </si>
  <si>
    <t xml:space="preserve">May 2023</t>
  </si>
  <si>
    <t xml:space="preserve">Sourcepass's 8th acquisition</t>
  </si>
  <si>
    <t xml:space="preserve">ProVelocity + LANstar</t>
  </si>
  <si>
    <t xml:space="preserve">10-50 employees (conflicting)</t>
  </si>
  <si>
    <t xml:space="preserve">IronEdge Group (Houston) / The Riverside Company</t>
  </si>
  <si>
    <t xml:space="preserve">PE platform merger</t>
  </si>
  <si>
    <t xml:space="preserve">Feb 2023 (ProVelocity); Jul 20 2023 (LANstar)</t>
  </si>
  <si>
    <t xml:space="preserve">Real local operations originated in Grand Junction, now PE-owned via Houston platform</t>
  </si>
  <si>
    <t xml:space="preserve">Platte River Networks</t>
  </si>
  <si>
    <t xml:space="preserve">MSP 501 / CRN MSP 500 honoree</t>
  </si>
  <si>
    <t xml:space="preserve">Applied Tech (Heartland Business Systems, itself acquired by GenNx360 Capital Oct 2025)</t>
  </si>
  <si>
    <t xml:space="preserve">Regional strategic roll-up</t>
  </si>
  <si>
    <t xml:space="preserve">Early 2023</t>
  </si>
  <si>
    <t xml:space="preserve">Absorbed into the Applied Tech brand; deal chain now GenNx360 -&gt; HBS -&gt; Applied Tech -&gt; Platte River</t>
  </si>
  <si>
    <t xml:space="preserve">Greenwood Village (Pittsburgh PA origin; 1986 lineage)</t>
  </si>
  <si>
    <t xml:space="preserve">50-185 employees (Clutch band, wide)</t>
  </si>
  <si>
    <t xml:space="preserve">HBK (accounting/professional-services firm)</t>
  </si>
  <si>
    <t xml:space="preserve">CPA-firm-owned MSP model</t>
  </si>
  <si>
    <t xml:space="preserve">2021</t>
  </si>
  <si>
    <t xml:space="preserve">Trade buyer, not PE — unusual acquirer type</t>
  </si>
  <si>
    <t xml:space="preserve">Denver (+ Fort Collins, Boulder)</t>
  </si>
  <si>
    <t xml:space="preserve">100-249 employees</t>
  </si>
  <si>
    <t xml:space="preserve">New Charter Technologies (Oval Partners)</t>
  </si>
  <si>
    <t xml:space="preserve">PE platform - decentralized partnership model</t>
  </si>
  <si>
    <t xml:space="preserve">Aug 21 2020</t>
  </si>
  <si>
    <t xml:space="preserve">Second ownership event in 4 yrs — was Cypress Growth Capital 2016-2020</t>
  </si>
  <si>
    <t xml:space="preserve">Greystone Technology (prior deal)</t>
  </si>
  <si>
    <t xml:space="preserve">Cypress Growth Capital</t>
  </si>
  <si>
    <t xml:space="preserve">Growth-equity investor</t>
  </si>
  <si>
    <t xml:space="preserve">2016</t>
  </si>
  <si>
    <t xml:space="preserve">Predecessor deal before New Charter</t>
  </si>
  <si>
    <t xml:space="preserve">250-999 employees</t>
  </si>
  <si>
    <t xml:space="preserve">ABRY Partners (with Alvarez &amp; Marsal Capital)</t>
  </si>
  <si>
    <t xml:space="preserve">Dec 13 2017</t>
  </si>
  <si>
    <t xml:space="preserve">Exited Lightview Capital; later merged with Breakthrough Technology Group. 9-yr hold — an exit may be due</t>
  </si>
  <si>
    <t xml:space="preserve">Denver (+ Grand Junction)</t>
  </si>
  <si>
    <t xml:space="preserve">~61 employees</t>
  </si>
  <si>
    <t xml:space="preserve">Trade/strategic buyer (office-equipment dealer), not PE</t>
  </si>
  <si>
    <t xml:space="preserve">Sep 2015</t>
  </si>
  <si>
    <t xml:space="preserve">Largest independent office-equipment dealer in CO; acquisition-fueled growth strategy</t>
  </si>
  <si>
    <t xml:space="preserve">Networks Unlimited acquires 307 Tech Pros</t>
  </si>
  <si>
    <t xml:space="preserve">Grand Junction buyer; Casper WY target</t>
  </si>
  <si>
    <t xml:space="preserve">307 Tech Pros founded 1990, Casper WY</t>
  </si>
  <si>
    <t xml:space="preserve">Networks Unlimited (Grand Junction) — itself the buyer</t>
  </si>
  <si>
    <t xml:space="preserve">Local strategic consolidator</t>
  </si>
  <si>
    <t xml:space="preserve">Sep 2025</t>
  </si>
  <si>
    <t xml:space="preserve">Selling owner Kyle Gamroth stayed on as Partner Success Manager; Networks Unlimited is a RIVAL BUYER for Western Slope/Mountain West deals</t>
  </si>
  <si>
    <t xml:space="preserve">Zivaro</t>
  </si>
  <si>
    <t xml:space="preserve">Trace3 (forms Trace3 Government)</t>
  </si>
  <si>
    <t xml:space="preserve">Strategic integrator acquisition</t>
  </si>
  <si>
    <t xml:space="preserve">Dec 19 2024</t>
  </si>
  <si>
    <t xml:space="preserve">Sell-side advisor Class VI Partners (Denver); terms undisclosed</t>
  </si>
  <si>
    <t xml:space="preserve">Mission Critical Systems</t>
  </si>
  <si>
    <t xml:space="preserve">Westminster</t>
  </si>
  <si>
    <t xml:space="preserve">11-50 employees; ~$1.8M standalone revenue (LeadIQ est., Apr 2025)</t>
  </si>
  <si>
    <t xml:space="preserve">Technology Architects (Minnesota-origin firm, independent merger — not PE)</t>
  </si>
  <si>
    <t xml:space="preserve">Merger of two independent MSPs</t>
  </si>
  <si>
    <t xml:space="preserve">Apr 2024</t>
  </si>
  <si>
    <t xml:space="preserve">Combined entity now serves 4,500+ end users / 150 companies across CO/MN/WI/41 states; founder Gene Smith retained a 'continuing role' post-merger — a partial-exit succession event, not a full PE sale</t>
  </si>
  <si>
    <t xml:space="preserve">See the 'Acquirers' tab for the full buyer landscape, sponsors, and valuation benchmarks.</t>
  </si>
  <si>
    <t xml:space="preserve">Market context: 466 MSP deals closed in North America in 2025 (+20-27% YoY, $4.3B+ disclosed value, PE in 69% of disclosed deals). Three Triangle exits in the 8 months to Jul 2026 - the market has flipped from dormant to hot.</t>
  </si>
  <si>
    <t xml:space="preserve">Location</t>
  </si>
  <si>
    <t xml:space="preserve">Reason excluded</t>
  </si>
  <si>
    <t xml:space="preserve">NOTE: micro-shops formerly excluded for size</t>
  </si>
  <si>
    <t xml:space="preserve">Colorado-wide</t>
  </si>
  <si>
    <t xml:space="preserve">Moved to the 'Small Shops (Roll-up)' tab with full tuck-in assessments</t>
  </si>
  <si>
    <t xml:space="preserve">MDL Consulting, Colorado Computers, Simply Tech, My Computer Guy LLC</t>
  </si>
  <si>
    <t xml:space="preserve">Summit Co / South Denver / Castle Rock / Colo Springs</t>
  </si>
  <si>
    <t xml:space="preserve">Explicit consumer/residential repair framing in their own marketing — poor roll-up fit despite in some cases very long tenure (Colorado Computers: 29 yrs)</t>
  </si>
  <si>
    <t xml:space="preserve">Tailored Technology Services Inc.</t>
  </si>
  <si>
    <t xml:space="preserve">Irvine CA HQ; Fort Collins satellite</t>
  </si>
  <si>
    <t xml:space="preserve">Ranks #1 on Clutch's Fort Collins MSP page but is a California company with a CO satellite office — commonly misfiled as local, flag explicitly</t>
  </si>
  <si>
    <t xml:space="preserve">Founded 2015 as an MSP; current site presents as Microsoft/Azure consulting and custom software dev — reclassified out of the MSP category</t>
  </si>
  <si>
    <t xml:space="preserve">Colorado Hi-Tech Solutions</t>
  </si>
  <si>
    <t xml:space="preserve">16-24 employees (conflicting) — too large for a tuck-in thesis, would be a platform-scale acquisition; principal identities unresolved (only initials found)</t>
  </si>
  <si>
    <t xml:space="preserve">Compudyne, Inc.</t>
  </si>
  <si>
    <t xml:space="preserve">Duluth MN HQ (Boulder CO listing)</t>
  </si>
  <si>
    <t xml:space="preserve">Traces through 2021 merger into Integris, now OMERS-owned — not a standalone local target</t>
  </si>
  <si>
    <t xml:space="preserve">Aleut Information Technology, JMark Services, Intecon LLC</t>
  </si>
  <si>
    <t xml:space="preserve">Federal/defense-contracting focus rather than commercial SMB MSP; different buyer profile</t>
  </si>
  <si>
    <t xml:space="preserve">Telco United, Lionhive</t>
  </si>
  <si>
    <t xml:space="preserve">Programmatic city pages statewide</t>
  </si>
  <si>
    <t xml:space="preserve">Templated SEO location pages for essentially every Colorado city — no evidence of local operations</t>
  </si>
  <si>
    <t xml:space="preserve">I/O Technology Partners LLC</t>
  </si>
  <si>
    <t xml:space="preserve">Avon</t>
  </si>
  <si>
    <t xml:space="preserve">Blends web design, e-commerce, and consumer PC/Apple repair with managed services — managed services appear to be one line among many, not the core model</t>
  </si>
  <si>
    <t xml:space="preserve">Micro Solutions, Inc. (MSI)</t>
  </si>
  <si>
    <t xml:space="preserve">Glenwood Springs + Rifle</t>
  </si>
  <si>
    <t xml:space="preserve">Retains a consumer-facing retail/break-fix outlet alongside managed services — judgment call, flagged not excluded outright; verify recurring revenue share before outreach</t>
  </si>
  <si>
    <t xml:space="preserve">Cherwell Software</t>
  </si>
  <si>
    <t xml:space="preserve">ITSM software vendor (acquired by Ivanti 2021), not an MSP</t>
  </si>
  <si>
    <t xml:space="preserve">Integris, Synoptek, TPx, Corsica Technologies, ERGOS, LeafTech, Techmedics, SoftDoes, Fantastic IT</t>
  </si>
  <si>
    <t xml:space="preserve">National / out-of-state HQ</t>
  </si>
  <si>
    <t xml:space="preserve">National or Denver-metro PE-backed platforms with no Southern-CO/Western-Slope HQ, or non-MSP software/marketing shops</t>
  </si>
  <si>
    <t xml:space="preserve">Durango branch; HQ Las Cruces, NM</t>
  </si>
  <si>
    <t xml:space="preserve">Multi-state NM-centric firm; Durango is a real staffed branch but not HQ — kept on Target List as Tier C given genuine local relevance</t>
  </si>
  <si>
    <t xml:space="preserve">IT Solutions Inc., NeighborTechs, TekReach, LayerLogix, ManagedITHQ, CloudNetworkingServices, Propel Technology, DubLow Digital, Rooted Software, ARPHost</t>
  </si>
  <si>
    <t xml:space="preserve">Various CO cities</t>
  </si>
  <si>
    <t xml:space="preserve">Out-of-state/regional HQs with landing pages, or insufficient evidence of local managed-services operations</t>
  </si>
  <si>
    <t xml:space="preserve">Grand Junction Business Solutions, Monument IT, Colorado Technology Services LLC</t>
  </si>
  <si>
    <t xml:space="preserve">Grand Junction / Colorado Springs</t>
  </si>
  <si>
    <t xml:space="preserve">Insufficient data; likely sub-5 employees</t>
  </si>
  <si>
    <t xml:space="preserve">Insight Global</t>
  </si>
  <si>
    <t xml:space="preserve">National</t>
  </si>
  <si>
    <t xml:space="preserve">Staffing firm, not an MSP</t>
  </si>
  <si>
    <t xml:space="preserve">nexus IT group</t>
  </si>
  <si>
    <t xml:space="preserve">Overland Park KS HQ; Denver office</t>
  </si>
  <si>
    <t xml:space="preserve">IT staffing/recruiting firm, not an MSP, despite appearing on Clutch's Denver MSP page</t>
  </si>
  <si>
    <t xml:space="preserve">BlueKey IT Services</t>
  </si>
  <si>
    <t xml:space="preserve">Listed as Arvada/Highlands Ranch; real HQ Mesa, AZ</t>
  </si>
  <si>
    <t xml:space="preserve">Runs programmatic SEO landing pages for Arvada, Thornton, Westminster, Phoenix, Scottsdale, Dallas, SLC, KC, Nashville — no evidence of a real staffed Colorado office</t>
  </si>
  <si>
    <t xml:space="preserve">truit</t>
  </si>
  <si>
    <t xml:space="preserve">Listed as Arvada/Boulder/Colo Springs; real HQ Tumwater/Spokane Valley, WA</t>
  </si>
  <si>
    <t xml:space="preserve">Templated pages for a dozen+ CO cities; self-describes as 'nationwide', no verified CO presence</t>
  </si>
  <si>
    <t xml:space="preserve">WETYR</t>
  </si>
  <si>
    <t xml:space="preserve">Listed across all CO cities; likely FL-based</t>
  </si>
  <si>
    <t xml:space="preserve">Not actually an MSP — a national M&amp;A/business-acquisition roll-up advisory platform with 4,400+ programmatic city x niche SEO pages across all 50 states</t>
  </si>
  <si>
    <t xml:space="preserve">NeighborTechs</t>
  </si>
  <si>
    <t xml:space="preserve">Listed as Brighton/Golden/Northglenn/Lafayette; real HQ Manhasset, NY</t>
  </si>
  <si>
    <t xml:space="preserve">National chain despite 'veteran-owned' local framing; templated location pages, no real CO ops</t>
  </si>
  <si>
    <t xml:space="preserve">CS Erie Computer Solutions</t>
  </si>
  <si>
    <t xml:space="preserve">Listed as Erie, CO</t>
  </si>
  <si>
    <t xml:space="preserve">FALSE POSITIVE — this is Erie, PENNSYLVANIA (2005 W 8th St, Erie PA), unrelated to Erie, Colorado</t>
  </si>
  <si>
    <t xml:space="preserve">Colorado Technology Services LLC</t>
  </si>
  <si>
    <t xml:space="preserve">Listed near Golden/Denver</t>
  </si>
  <si>
    <t xml:space="preserve">Founded 2019, but actually serves Southern Colorado, not the North/West Denver metro — wrong region</t>
  </si>
  <si>
    <t xml:space="preserve">CMIT Solutions of Broomfield/Erie; TeamLogic IT (Golden)</t>
  </si>
  <si>
    <t xml:space="preserve">Broomfield / Erie / Golden</t>
  </si>
  <si>
    <t xml:space="preserve">National franchise chains — independently owned locations but corporate brand, not treated as independent tuck-in targets</t>
  </si>
  <si>
    <t xml:space="preserve">Coalfire</t>
  </si>
  <si>
    <t xml:space="preserve">Large national cybersecurity advisory firm, not a small-MSP tuck-in profile</t>
  </si>
  <si>
    <t xml:space="preserve">Assumptions (edit the yellow cells - revenue estimates on 'Target List' recalculate)</t>
  </si>
  <si>
    <t xml:space="preserve">Current year</t>
  </si>
  <si>
    <t xml:space="preserve">Revenue per employee - low ($)</t>
  </si>
  <si>
    <t xml:space="preserve">Revenue per employee - high ($)</t>
  </si>
  <si>
    <t xml:space="preserve">Basis: standard MSP benchmark of ~$150-200K annual revenue per employee. Source: industry rule of thumb (Service Leadership / channel benchmarks); user-adjustable.</t>
  </si>
  <si>
    <t xml:space="preserve">Assumed EBITDA margin</t>
  </si>
  <si>
    <t xml:space="preserve">EBITDA multiple - low (x)</t>
  </si>
  <si>
    <t xml:space="preserve">EBITDA multiple - high (x)</t>
  </si>
  <si>
    <t xml:space="preserve">Sale-price basis: est. revenue x EBITDA margin x multiple. Small SMB-focused MSPs typically trade at ~4-7x adjusted EBITDA (equivalently ~0.6-1.1x revenue at a 15% margin); high recurring-revenue mix, low client concentration, and documented processes push toward the top of the range, owner-dependence toward the bottom. Micro shops (&lt;$1M revenue) trade lower - often 0.5-1x SDE - see the small-shops tab when present.</t>
  </si>
  <si>
    <t xml:space="preserve">HOW TO READ THIS WORKBOOK</t>
  </si>
  <si>
    <t xml:space="preserve">Tier A = prime succession-window targets: owner-operated, typically 20+ years old, founder still in charge. Tier B = established or growing firms with lower near-term sale signals. Tier C = thin data - verify before outreach. F = franchise territories. X = already acquired (competitors / valuation comps).</t>
  </si>
  <si>
    <t xml:space="preserve">'Sale signal' = High / Moderate / Low / Verify / N/A. Every signal is an INFERENCE from public facts (founding year, founder tenure, career start dates, leadership changes) - never a verified owner age or a stated intention to sell. Treat as a prioritization aid, not fact.</t>
  </si>
  <si>
    <t xml:space="preserve">'Est. rev low/high ($M)' are FORMULAS: employee band x revenue-per-employee assumptions above. Where a third-party estimate exists (ZoomInfo, RocketReach, D&amp;B) it is shown in its own column - those are algorithmic estimates, not filings, and several are demonstrably wrong in this dataset (Amnet's ZoomInfo $89.2M figure implies ~$1.9M/employee and is disregarded; flagged in Notes).</t>
  </si>
  <si>
    <t xml:space="preserve">'Est. sale price low/high ($M)' are FORMULAS: est. revenue x assumed EBITDA margin x EBITDA multiple (assumptions above). These are screening-level figures only - a real valuation requires actual financials, recurring-revenue mix, and client concentration. The low uses rev-low x 4x, the high rev-high x 7x, so the range is deliberately wide.</t>
  </si>
  <si>
    <t xml:space="preserve">Employee counts come from LinkedIn-derived aggregators (ZoomInfo, LeadIQ, RocketReach, Tracxn), directory bands (Clutch, DesignRush), company sites, and press. They lag reality and conflict often in this dataset (e.g. NexusTek shown as both 250-999 and Under-49 across sources) - verify via LinkedIn and direct contact before valuation work.</t>
  </si>
  <si>
    <t xml:space="preserve">MARKET SNAPSHOT (Colorado, Aug 2026)</t>
  </si>
  <si>
    <t xml:space="preserve">Coverage spans Denver metro, Boulder/NW metro, Colorado Springs/Southern CO, Northern Colorado (Fort Collins/Greeley), and the Western Slope/mountain resort corridor - a much larger and more geographically dispersed market than a single metro.</t>
  </si>
  <si>
    <t xml:space="preserve">Colorado Springs carries a distinct defense/CMMC vertical (Space Force, Peterson, Schriever, Fort Carson) - Colorado Computer Support and Imprimis Inc. are the strongest verified DIB-compliance capabilities found; most Springs MSPs have no CMMC offering at all, a real gap.</t>
  </si>
  <si>
    <t xml:space="preserve">Denver is New Charter Technologies' HOME MARKET (Oval Partners-backed platform) - yet it has done only ONE confirmed Denver deal (Greystone, 2020) since inception. At least 10 other national/regional platforms have separately acquired Colorado MSPs since 2015 (NexusTek/ABRY, Verticomm/All Copy, Vertilocity/HBK, Zivaro/Trace3, Noynim/Worklyn, machineLOGIC/Sourcepass, PEI/Dataprise, Navakai/Ntiva, Optimum Networking/Meriplex, Platte River/Applied Tech-HBS-GenNx360) - Denver-metro consolidation is well underway.</t>
  </si>
  <si>
    <t xml:space="preserve">The Western Slope is consolidating FASTER than Colorado Springs relative to market size: ProVelocity (Riverside/IronEdge, 2023), CommWest (independent operator group, Nov 2025), Verticomm (All Copy, 2015), plus Networks Unlimited itself acquiring out-of-state (307 Tech Pros, 2025) - four ownership events in a much smaller market.</t>
  </si>
  <si>
    <t xml:space="preserve">Northern Colorado (Fort Collins/Greeley) is genuinely thin and under-consolidated: only 4 firms meet NoCo-HQ + owner-operated + pre-2010 + ~10+ staff (ICC, Connecting Point, Pro-IS, InfiNet), and no confirmed acquisition of a Fort Collins/Loveland/Greeley-HQ'd MSP was found - the least picked-over sizable submarket in the state.</t>
  </si>
  <si>
    <t xml:space="preserve">Strongest explicit succession signals on current data: TekMyBiz (32-yr founder tenure, Colorado Springs), InfiNet Computer Solutions ('same ownership since 1998', Fort Collins), Ariel IT Services (30-yr lineage + prior M&amp;A experience, Louisville), ICC (28-yr, unusually deep VP bench, Fort Collins), Computer Concepts Inc. (35-yr firm, owner unidentified, Denver), Windward Networks (22-yr, $4M/5-employee ratio, Boulder).</t>
  </si>
  <si>
    <t xml:space="preserve">CommWest's Nov 2025 sale (Grand Junction) is the single best comparable for how a Colorado succession actually happens: 20-yr owner Nathan Wallace sold to an out-of-state operator group on culture-preserving terms, with his daughters' continued employment as an explicit deal condition.</t>
  </si>
  <si>
    <t xml:space="preserve">SUGGESTED NEXT STEPS</t>
  </si>
  <si>
    <t xml:space="preserve">1. Verify ownership and officer names via the Colorado Secretary of State business database (free, coloradosos.gov) for every Tier A row - several owners are entirely unidentified in public sources (Computer Concepts, DCNC, TenPlus-equivalents).</t>
  </si>
  <si>
    <t xml:space="preserve">2. Pull LinkedIn profiles for named owners to firm up career-stage estimates (graduation years / prior-employer tenure are the best public age proxy) - this worked well for GrahamGolden, eCreek, and OnPar-equivalent profiles.</t>
  </si>
  <si>
    <t xml:space="preserve">3. Cross-check headcounts against LinkedIn company pages; this dataset has more employee-band conflicts than usual (Compudyne, EnTech, PCG Systems, Colorado Information Technologies all show 3-5x discrepancies across sources) - resolve before valuation work.</t>
  </si>
  <si>
    <t xml:space="preserve">4. For Colorado Springs specifically: confirm CMMC/DFARS capability directly - it is a real value differentiator but thinly marketed even by firms that likely qualify.</t>
  </si>
  <si>
    <t xml:space="preserve">5. For Western Slope/mountain targets: expect a smaller buyer pool but real competition from Networks Unlimited itself, which is acquiring rather than selling.</t>
  </si>
  <si>
    <t xml:space="preserve">6. Rows marked 'Verify' are missing ownership data, not necessarily poor targets - several (Cii-equivalents like Pro-IS, TenPlus-equivalents like Computer Concepts) are among the oldest firms in their submarkets.</t>
  </si>
  <si>
    <t xml:space="preserve">DATA SOURCES</t>
  </si>
  <si>
    <t xml:space="preserve">Company websites and about/team pages; LinkedIn-derived aggregators (ZoomInfo, LeadIQ, RocketReach, Tracxn, Datanyze, D&amp;B); directories (Clutch, DesignRush, Expertise.com, mspdatabase.com, InfoMSP, MSP Companies); press releases (PRNewswire, BusinessWire, EINPresswire); local business press (Grand Junction Sentinel, Business Times, Colorado Springs Gazette); BBB; CT Acquisitions and Unglin M&amp;A advisory reports for valuation benchmarks. Collected 2026-08-18.</t>
  </si>
  <si>
    <t xml:space="preserve">Clutch, UpCity, The Manifest, TechBehemoths and Cloudtango frequently block automated access - some data came from search snippets and is thinner. WebSearch budgets were exhausted mid-pass on two regional sweeps (Colorado Springs/South/West and the directory sweep); those datasets are still substantial (24-32 companies each) but may have gaps a fresh pass would close.</t>
  </si>
  <si>
    <t xml:space="preserve">This workbook was assembled from parallel research passes (by region and by function - acquirers, small shops); minor cross-references between tabs (e.g. exact employee counts) may not be perfectly reconciled. Treat the Target List as the authoritative record where tabs conflict.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</si>
</sst>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\$#,##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FCE4EC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CE4EC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1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1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5"/>
    <col collapsed="false" customWidth="true" hidden="false" outlineLevel="0" max="8" min="7" style="0" width="8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36"/>
    <col collapsed="false" customWidth="true" hidden="false" outlineLevel="0" max="17" min="17" style="0" width="9"/>
    <col collapsed="false" customWidth="true" hidden="false" outlineLevel="0" max="18" min="18" style="0" width="46"/>
    <col collapsed="false" customWidth="true" hidden="false" outlineLevel="0" max="19" min="19" style="0" width="26"/>
    <col collapsed="false" customWidth="true" hidden="false" outlineLevel="0" max="20" min="20" style="0" width="44"/>
    <col collapsed="false" customWidth="true" hidden="false" outlineLevel="0" max="21" min="21" style="0" width="16"/>
    <col collapsed="false" customWidth="true" hidden="false" outlineLevel="0" max="22" min="22" style="0" width="3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41.75" hidden="false" customHeight="false" outlineLevel="0" collapsed="false">
      <c r="A2" s="2" t="s">
        <v>22</v>
      </c>
      <c r="B2" s="2" t="s">
        <v>23</v>
      </c>
      <c r="C2" s="3" t="str">
        <f aca="false">HYPERLINK("https://www.iccusa.net","www.iccusa.net")</f>
        <v>www.iccusa.net</v>
      </c>
      <c r="D2" s="2" t="s">
        <v>24</v>
      </c>
      <c r="E2" s="4" t="n">
        <v>1998</v>
      </c>
      <c r="F2" s="4" t="n">
        <f aca="false">IF(E2="","",Method!$B$2-E2)</f>
        <v>28</v>
      </c>
      <c r="G2" s="4" t="n">
        <v>26</v>
      </c>
      <c r="H2" s="4" t="n">
        <v>26</v>
      </c>
      <c r="I2" s="5" t="s">
        <v>25</v>
      </c>
      <c r="J2" s="6" t="n">
        <f aca="false">IF(G2="","",ROUND(G2*Method!$B$3/1000000,1))</f>
        <v>3.9</v>
      </c>
      <c r="K2" s="6" t="n">
        <f aca="false">IF(H2="","",ROUND(H2*Method!$B$4/1000000,1))</f>
        <v>5.2</v>
      </c>
      <c r="L2" s="6" t="n">
        <f aca="false">IF(J2="","",ROUND(J2*Method!$B$6*Method!$B$7,1))</f>
        <v>2.3</v>
      </c>
      <c r="M2" s="6" t="n">
        <f aca="false">IF(K2="","",ROUND(K2*Method!$B$6*Method!$B$8,1))</f>
        <v>5.5</v>
      </c>
      <c r="N2" s="2"/>
      <c r="O2" s="5" t="s">
        <v>26</v>
      </c>
      <c r="P2" s="5" t="s">
        <v>27</v>
      </c>
      <c r="Q2" s="2" t="s">
        <v>28</v>
      </c>
      <c r="R2" s="5" t="s">
        <v>29</v>
      </c>
      <c r="S2" s="5" t="s">
        <v>30</v>
      </c>
      <c r="T2" s="5" t="s">
        <v>31</v>
      </c>
      <c r="U2" s="2" t="s">
        <v>32</v>
      </c>
      <c r="V2" s="5" t="s">
        <v>33</v>
      </c>
    </row>
    <row r="3" customFormat="false" ht="55.2" hidden="false" customHeight="false" outlineLevel="0" collapsed="false">
      <c r="A3" s="2" t="s">
        <v>22</v>
      </c>
      <c r="B3" s="2" t="s">
        <v>34</v>
      </c>
      <c r="C3" s="3" t="str">
        <f aca="false">HYPERLINK("https://infinetinc.com","infinetinc.com")</f>
        <v>infinetinc.com</v>
      </c>
      <c r="D3" s="2" t="s">
        <v>24</v>
      </c>
      <c r="E3" s="4" t="n">
        <v>1998</v>
      </c>
      <c r="F3" s="4" t="n">
        <f aca="false">IF(E3="","",Method!$B$2-E3)</f>
        <v>28</v>
      </c>
      <c r="G3" s="4" t="n">
        <v>8</v>
      </c>
      <c r="H3" s="4" t="n">
        <v>15</v>
      </c>
      <c r="I3" s="5" t="s">
        <v>35</v>
      </c>
      <c r="J3" s="6" t="n">
        <f aca="false">IF(G3="","",ROUND(G3*Method!$B$3/1000000,1))</f>
        <v>1.2</v>
      </c>
      <c r="K3" s="6" t="n">
        <f aca="false">IF(H3="","",ROUND(H3*Method!$B$4/1000000,1))</f>
        <v>3</v>
      </c>
      <c r="L3" s="6" t="n">
        <f aca="false">IF(J3="","",ROUND(J3*Method!$B$6*Method!$B$7,1))</f>
        <v>0.7</v>
      </c>
      <c r="M3" s="6" t="n">
        <f aca="false">IF(K3="","",ROUND(K3*Method!$B$6*Method!$B$8,1))</f>
        <v>3.2</v>
      </c>
      <c r="N3" s="2"/>
      <c r="O3" s="5" t="s">
        <v>36</v>
      </c>
      <c r="P3" s="5" t="s">
        <v>37</v>
      </c>
      <c r="Q3" s="2" t="s">
        <v>28</v>
      </c>
      <c r="R3" s="5" t="s">
        <v>38</v>
      </c>
      <c r="S3" s="5" t="s">
        <v>39</v>
      </c>
      <c r="T3" s="5" t="s">
        <v>40</v>
      </c>
      <c r="U3" s="2"/>
      <c r="V3" s="5" t="s">
        <v>41</v>
      </c>
    </row>
    <row r="4" customFormat="false" ht="41.75" hidden="false" customHeight="false" outlineLevel="0" collapsed="false">
      <c r="A4" s="2" t="s">
        <v>22</v>
      </c>
      <c r="B4" s="2" t="s">
        <v>42</v>
      </c>
      <c r="C4" s="3" t="str">
        <f aca="false">HYPERLINK("https://pro-is.com","pro-is.com")</f>
        <v>pro-is.com</v>
      </c>
      <c r="D4" s="2" t="s">
        <v>24</v>
      </c>
      <c r="E4" s="4" t="n">
        <v>1998</v>
      </c>
      <c r="F4" s="4" t="n">
        <f aca="false">IF(E4="","",Method!$B$2-E4)</f>
        <v>28</v>
      </c>
      <c r="G4" s="4" t="n">
        <v>10</v>
      </c>
      <c r="H4" s="4" t="n">
        <v>20</v>
      </c>
      <c r="I4" s="5" t="s">
        <v>43</v>
      </c>
      <c r="J4" s="6" t="n">
        <f aca="false">IF(G4="","",ROUND(G4*Method!$B$3/1000000,1))</f>
        <v>1.5</v>
      </c>
      <c r="K4" s="6" t="n">
        <f aca="false">IF(H4="","",ROUND(H4*Method!$B$4/1000000,1))</f>
        <v>4</v>
      </c>
      <c r="L4" s="6" t="n">
        <f aca="false">IF(J4="","",ROUND(J4*Method!$B$6*Method!$B$7,1))</f>
        <v>0.9</v>
      </c>
      <c r="M4" s="6" t="n">
        <f aca="false">IF(K4="","",ROUND(K4*Method!$B$6*Method!$B$8,1))</f>
        <v>4.2</v>
      </c>
      <c r="N4" s="2"/>
      <c r="O4" s="5" t="s">
        <v>36</v>
      </c>
      <c r="P4" s="5" t="s">
        <v>44</v>
      </c>
      <c r="Q4" s="2" t="s">
        <v>45</v>
      </c>
      <c r="R4" s="5" t="s">
        <v>46</v>
      </c>
      <c r="S4" s="5"/>
      <c r="T4" s="5" t="s">
        <v>47</v>
      </c>
      <c r="U4" s="2"/>
      <c r="V4" s="5" t="s">
        <v>48</v>
      </c>
    </row>
    <row r="5" customFormat="false" ht="55.2" hidden="false" customHeight="false" outlineLevel="0" collapsed="false">
      <c r="A5" s="2" t="s">
        <v>22</v>
      </c>
      <c r="B5" s="2" t="s">
        <v>49</v>
      </c>
      <c r="C5" s="2"/>
      <c r="D5" s="2" t="s">
        <v>50</v>
      </c>
      <c r="E5" s="4" t="n">
        <v>1998</v>
      </c>
      <c r="F5" s="4" t="n">
        <f aca="false">IF(E5="","",Method!$B$2-E5)</f>
        <v>28</v>
      </c>
      <c r="G5" s="4" t="n">
        <v>13</v>
      </c>
      <c r="H5" s="4" t="n">
        <v>13</v>
      </c>
      <c r="I5" s="5" t="s">
        <v>51</v>
      </c>
      <c r="J5" s="6" t="n">
        <f aca="false">IF(G5="","",ROUND(G5*Method!$B$3/1000000,1))</f>
        <v>2</v>
      </c>
      <c r="K5" s="6" t="n">
        <f aca="false">IF(H5="","",ROUND(H5*Method!$B$4/1000000,1))</f>
        <v>2.6</v>
      </c>
      <c r="L5" s="6" t="n">
        <f aca="false">IF(J5="","",ROUND(J5*Method!$B$6*Method!$B$7,1))</f>
        <v>1.2</v>
      </c>
      <c r="M5" s="6" t="n">
        <f aca="false">IF(K5="","",ROUND(K5*Method!$B$6*Method!$B$8,1))</f>
        <v>2.7</v>
      </c>
      <c r="N5" s="2"/>
      <c r="O5" s="5" t="s">
        <v>52</v>
      </c>
      <c r="P5" s="5" t="s">
        <v>53</v>
      </c>
      <c r="Q5" s="2" t="s">
        <v>28</v>
      </c>
      <c r="R5" s="5" t="s">
        <v>54</v>
      </c>
      <c r="S5" s="5"/>
      <c r="T5" s="5" t="s">
        <v>55</v>
      </c>
      <c r="U5" s="2" t="s">
        <v>56</v>
      </c>
      <c r="V5" s="5" t="s">
        <v>57</v>
      </c>
    </row>
    <row r="6" customFormat="false" ht="55.2" hidden="false" customHeight="false" outlineLevel="0" collapsed="false">
      <c r="A6" s="2" t="s">
        <v>22</v>
      </c>
      <c r="B6" s="2" t="s">
        <v>58</v>
      </c>
      <c r="C6" s="3" t="str">
        <f aca="false">HYPERLINK("https://www.bncsystems.com","www.bncsystems.com")</f>
        <v>www.bncsystems.com</v>
      </c>
      <c r="D6" s="2" t="s">
        <v>59</v>
      </c>
      <c r="E6" s="4" t="n">
        <v>1997</v>
      </c>
      <c r="F6" s="4" t="n">
        <f aca="false">IF(E6="","",Method!$B$2-E6)</f>
        <v>29</v>
      </c>
      <c r="G6" s="4" t="n">
        <v>20</v>
      </c>
      <c r="H6" s="4" t="n">
        <v>40</v>
      </c>
      <c r="I6" s="5" t="s">
        <v>60</v>
      </c>
      <c r="J6" s="6" t="n">
        <f aca="false">IF(G6="","",ROUND(G6*Method!$B$3/1000000,1))</f>
        <v>3</v>
      </c>
      <c r="K6" s="6" t="n">
        <f aca="false">IF(H6="","",ROUND(H6*Method!$B$4/1000000,1))</f>
        <v>8</v>
      </c>
      <c r="L6" s="6" t="n">
        <f aca="false">IF(J6="","",ROUND(J6*Method!$B$6*Method!$B$7,1))</f>
        <v>1.8</v>
      </c>
      <c r="M6" s="6" t="n">
        <f aca="false">IF(K6="","",ROUND(K6*Method!$B$6*Method!$B$8,1))</f>
        <v>8.4</v>
      </c>
      <c r="N6" s="2"/>
      <c r="O6" s="5" t="s">
        <v>61</v>
      </c>
      <c r="P6" s="5" t="s">
        <v>62</v>
      </c>
      <c r="Q6" s="2" t="s">
        <v>28</v>
      </c>
      <c r="R6" s="5" t="s">
        <v>63</v>
      </c>
      <c r="S6" s="5"/>
      <c r="T6" s="5" t="s">
        <v>64</v>
      </c>
      <c r="U6" s="2" t="s">
        <v>65</v>
      </c>
      <c r="V6" s="5" t="s">
        <v>66</v>
      </c>
    </row>
    <row r="7" customFormat="false" ht="41.75" hidden="false" customHeight="false" outlineLevel="0" collapsed="false">
      <c r="A7" s="2" t="s">
        <v>22</v>
      </c>
      <c r="B7" s="2" t="s">
        <v>67</v>
      </c>
      <c r="C7" s="3" t="str">
        <f aca="false">HYPERLINK("https://www.grahamgoldentech.com","www.grahamgoldentech.com")</f>
        <v>www.grahamgoldentech.com</v>
      </c>
      <c r="D7" s="2" t="s">
        <v>59</v>
      </c>
      <c r="E7" s="4" t="n">
        <v>2001</v>
      </c>
      <c r="F7" s="4" t="n">
        <f aca="false">IF(E7="","",Method!$B$2-E7)</f>
        <v>25</v>
      </c>
      <c r="G7" s="4" t="n">
        <v>12</v>
      </c>
      <c r="H7" s="4" t="n">
        <v>12</v>
      </c>
      <c r="I7" s="5" t="s">
        <v>68</v>
      </c>
      <c r="J7" s="6" t="n">
        <f aca="false">IF(G7="","",ROUND(G7*Method!$B$3/1000000,1))</f>
        <v>1.8</v>
      </c>
      <c r="K7" s="6" t="n">
        <f aca="false">IF(H7="","",ROUND(H7*Method!$B$4/1000000,1))</f>
        <v>2.4</v>
      </c>
      <c r="L7" s="6" t="n">
        <f aca="false">IF(J7="","",ROUND(J7*Method!$B$6*Method!$B$7,1))</f>
        <v>1.1</v>
      </c>
      <c r="M7" s="6" t="n">
        <f aca="false">IF(K7="","",ROUND(K7*Method!$B$6*Method!$B$8,1))</f>
        <v>2.5</v>
      </c>
      <c r="N7" s="2"/>
      <c r="O7" s="5" t="s">
        <v>69</v>
      </c>
      <c r="P7" s="5" t="s">
        <v>70</v>
      </c>
      <c r="Q7" s="2" t="s">
        <v>28</v>
      </c>
      <c r="R7" s="5" t="s">
        <v>71</v>
      </c>
      <c r="S7" s="5" t="s">
        <v>72</v>
      </c>
      <c r="T7" s="5" t="s">
        <v>73</v>
      </c>
      <c r="U7" s="2"/>
      <c r="V7" s="5" t="s">
        <v>74</v>
      </c>
    </row>
    <row r="8" customFormat="false" ht="55.2" hidden="false" customHeight="false" outlineLevel="0" collapsed="false">
      <c r="A8" s="2" t="s">
        <v>22</v>
      </c>
      <c r="B8" s="2" t="s">
        <v>75</v>
      </c>
      <c r="C8" s="3" t="str">
        <f aca="false">HYPERLINK("https://www.anchornetworksolutions.com","www.anchornetworksolutions.com")</f>
        <v>www.anchornetworksolutions.com</v>
      </c>
      <c r="D8" s="2" t="s">
        <v>76</v>
      </c>
      <c r="E8" s="4" t="n">
        <v>2002</v>
      </c>
      <c r="F8" s="4" t="n">
        <f aca="false">IF(E8="","",Method!$B$2-E8)</f>
        <v>24</v>
      </c>
      <c r="G8" s="4" t="n">
        <v>10</v>
      </c>
      <c r="H8" s="4" t="n">
        <v>30</v>
      </c>
      <c r="I8" s="5" t="s">
        <v>77</v>
      </c>
      <c r="J8" s="6" t="n">
        <f aca="false">IF(G8="","",ROUND(G8*Method!$B$3/1000000,1))</f>
        <v>1.5</v>
      </c>
      <c r="K8" s="6" t="n">
        <f aca="false">IF(H8="","",ROUND(H8*Method!$B$4/1000000,1))</f>
        <v>6</v>
      </c>
      <c r="L8" s="6" t="n">
        <f aca="false">IF(J8="","",ROUND(J8*Method!$B$6*Method!$B$7,1))</f>
        <v>0.9</v>
      </c>
      <c r="M8" s="6" t="n">
        <f aca="false">IF(K8="","",ROUND(K8*Method!$B$6*Method!$B$8,1))</f>
        <v>6.3</v>
      </c>
      <c r="N8" s="2"/>
      <c r="O8" s="5" t="s">
        <v>36</v>
      </c>
      <c r="P8" s="5" t="s">
        <v>78</v>
      </c>
      <c r="Q8" s="2" t="s">
        <v>45</v>
      </c>
      <c r="R8" s="5" t="s">
        <v>79</v>
      </c>
      <c r="S8" s="5"/>
      <c r="T8" s="5" t="s">
        <v>80</v>
      </c>
      <c r="U8" s="2" t="s">
        <v>81</v>
      </c>
      <c r="V8" s="5" t="s">
        <v>82</v>
      </c>
    </row>
    <row r="9" customFormat="false" ht="55.2" hidden="false" customHeight="false" outlineLevel="0" collapsed="false">
      <c r="A9" s="2" t="s">
        <v>22</v>
      </c>
      <c r="B9" s="2" t="s">
        <v>83</v>
      </c>
      <c r="C9" s="3" t="str">
        <f aca="false">HYPERLINK("https://www.computerci.com","www.computerci.com")</f>
        <v>www.computerci.com</v>
      </c>
      <c r="D9" s="2" t="s">
        <v>59</v>
      </c>
      <c r="E9" s="4" t="n">
        <v>1991</v>
      </c>
      <c r="F9" s="4" t="n">
        <f aca="false">IF(E9="","",Method!$B$2-E9)</f>
        <v>35</v>
      </c>
      <c r="G9" s="4" t="n">
        <v>15</v>
      </c>
      <c r="H9" s="4" t="n">
        <v>30</v>
      </c>
      <c r="I9" s="5" t="s">
        <v>84</v>
      </c>
      <c r="J9" s="6" t="n">
        <f aca="false">IF(G9="","",ROUND(G9*Method!$B$3/1000000,1))</f>
        <v>2.3</v>
      </c>
      <c r="K9" s="6" t="n">
        <f aca="false">IF(H9="","",ROUND(H9*Method!$B$4/1000000,1))</f>
        <v>6</v>
      </c>
      <c r="L9" s="6" t="n">
        <f aca="false">IF(J9="","",ROUND(J9*Method!$B$6*Method!$B$7,1))</f>
        <v>1.4</v>
      </c>
      <c r="M9" s="6" t="n">
        <f aca="false">IF(K9="","",ROUND(K9*Method!$B$6*Method!$B$8,1))</f>
        <v>6.3</v>
      </c>
      <c r="N9" s="2"/>
      <c r="O9" s="5" t="s">
        <v>85</v>
      </c>
      <c r="P9" s="5" t="s">
        <v>86</v>
      </c>
      <c r="Q9" s="2" t="s">
        <v>28</v>
      </c>
      <c r="R9" s="5" t="s">
        <v>87</v>
      </c>
      <c r="S9" s="5" t="s">
        <v>88</v>
      </c>
      <c r="T9" s="5" t="s">
        <v>89</v>
      </c>
      <c r="U9" s="2"/>
      <c r="V9" s="5" t="s">
        <v>90</v>
      </c>
    </row>
    <row r="10" customFormat="false" ht="68.65" hidden="false" customHeight="false" outlineLevel="0" collapsed="false">
      <c r="A10" s="2" t="s">
        <v>22</v>
      </c>
      <c r="B10" s="2" t="s">
        <v>91</v>
      </c>
      <c r="C10" s="3" t="str">
        <f aca="false">HYPERLINK("https://coloradosupport.com","coloradosupport.com")</f>
        <v>coloradosupport.com</v>
      </c>
      <c r="D10" s="2" t="s">
        <v>92</v>
      </c>
      <c r="E10" s="4" t="n">
        <v>2001</v>
      </c>
      <c r="F10" s="4" t="n">
        <f aca="false">IF(E10="","",Method!$B$2-E10)</f>
        <v>25</v>
      </c>
      <c r="G10" s="4" t="n">
        <v>29</v>
      </c>
      <c r="H10" s="4" t="n">
        <v>29</v>
      </c>
      <c r="I10" s="5" t="s">
        <v>93</v>
      </c>
      <c r="J10" s="6" t="n">
        <f aca="false">IF(G10="","",ROUND(G10*Method!$B$3/1000000,1))</f>
        <v>4.4</v>
      </c>
      <c r="K10" s="6" t="n">
        <f aca="false">IF(H10="","",ROUND(H10*Method!$B$4/1000000,1))</f>
        <v>5.8</v>
      </c>
      <c r="L10" s="6" t="n">
        <f aca="false">IF(J10="","",ROUND(J10*Method!$B$6*Method!$B$7,1))</f>
        <v>2.6</v>
      </c>
      <c r="M10" s="6" t="n">
        <f aca="false">IF(K10="","",ROUND(K10*Method!$B$6*Method!$B$8,1))</f>
        <v>6.1</v>
      </c>
      <c r="N10" s="2"/>
      <c r="O10" s="5" t="s">
        <v>26</v>
      </c>
      <c r="P10" s="5" t="s">
        <v>94</v>
      </c>
      <c r="Q10" s="2" t="s">
        <v>28</v>
      </c>
      <c r="R10" s="5" t="s">
        <v>95</v>
      </c>
      <c r="S10" s="5"/>
      <c r="T10" s="5" t="s">
        <v>96</v>
      </c>
      <c r="U10" s="2"/>
      <c r="V10" s="5" t="s">
        <v>97</v>
      </c>
    </row>
    <row r="11" customFormat="false" ht="55.2" hidden="false" customHeight="false" outlineLevel="0" collapsed="false">
      <c r="A11" s="2" t="s">
        <v>22</v>
      </c>
      <c r="B11" s="2" t="s">
        <v>98</v>
      </c>
      <c r="C11" s="3" t="str">
        <f aca="false">HYPERLINK("https://www.amnet.net","www.amnet.net")</f>
        <v>www.amnet.net</v>
      </c>
      <c r="D11" s="2" t="s">
        <v>99</v>
      </c>
      <c r="E11" s="4" t="n">
        <v>1998</v>
      </c>
      <c r="F11" s="4" t="n">
        <f aca="false">IF(E11="","",Method!$B$2-E11)</f>
        <v>28</v>
      </c>
      <c r="G11" s="4" t="n">
        <v>40</v>
      </c>
      <c r="H11" s="4" t="n">
        <v>50</v>
      </c>
      <c r="I11" s="5" t="s">
        <v>100</v>
      </c>
      <c r="J11" s="6" t="n">
        <f aca="false">IF(G11="","",ROUND(G11*Method!$B$3/1000000,1))</f>
        <v>6</v>
      </c>
      <c r="K11" s="6" t="n">
        <f aca="false">IF(H11="","",ROUND(H11*Method!$B$4/1000000,1))</f>
        <v>10</v>
      </c>
      <c r="L11" s="6" t="n">
        <f aca="false">IF(J11="","",ROUND(J11*Method!$B$6*Method!$B$7,1))</f>
        <v>3.6</v>
      </c>
      <c r="M11" s="6" t="n">
        <f aca="false">IF(K11="","",ROUND(K11*Method!$B$6*Method!$B$8,1))</f>
        <v>10.5</v>
      </c>
      <c r="N11" s="2" t="s">
        <v>101</v>
      </c>
      <c r="O11" s="5" t="s">
        <v>102</v>
      </c>
      <c r="P11" s="5" t="s">
        <v>103</v>
      </c>
      <c r="Q11" s="2" t="s">
        <v>45</v>
      </c>
      <c r="R11" s="5" t="s">
        <v>104</v>
      </c>
      <c r="S11" s="5"/>
      <c r="T11" s="5" t="s">
        <v>105</v>
      </c>
      <c r="U11" s="2" t="s">
        <v>106</v>
      </c>
      <c r="V11" s="5" t="s">
        <v>107</v>
      </c>
    </row>
    <row r="12" customFormat="false" ht="41.75" hidden="false" customHeight="false" outlineLevel="0" collapsed="false">
      <c r="A12" s="2" t="s">
        <v>22</v>
      </c>
      <c r="B12" s="2" t="s">
        <v>108</v>
      </c>
      <c r="C12" s="3" t="str">
        <f aca="false">HYPERLINK("https://tekmybiz.com","tekmybiz.com")</f>
        <v>tekmybiz.com</v>
      </c>
      <c r="D12" s="2" t="s">
        <v>92</v>
      </c>
      <c r="E12" s="4" t="n">
        <v>1993</v>
      </c>
      <c r="F12" s="4" t="n">
        <f aca="false">IF(E12="","",Method!$B$2-E12)</f>
        <v>33</v>
      </c>
      <c r="G12" s="4" t="n">
        <v>11</v>
      </c>
      <c r="H12" s="4" t="n">
        <v>11</v>
      </c>
      <c r="I12" s="5" t="s">
        <v>109</v>
      </c>
      <c r="J12" s="6" t="n">
        <f aca="false">IF(G12="","",ROUND(G12*Method!$B$3/1000000,1))</f>
        <v>1.7</v>
      </c>
      <c r="K12" s="6" t="n">
        <f aca="false">IF(H12="","",ROUND(H12*Method!$B$4/1000000,1))</f>
        <v>2.2</v>
      </c>
      <c r="L12" s="6" t="n">
        <f aca="false">IF(J12="","",ROUND(J12*Method!$B$6*Method!$B$7,1))</f>
        <v>1</v>
      </c>
      <c r="M12" s="6" t="n">
        <f aca="false">IF(K12="","",ROUND(K12*Method!$B$6*Method!$B$8,1))</f>
        <v>2.3</v>
      </c>
      <c r="N12" s="2"/>
      <c r="O12" s="5" t="s">
        <v>26</v>
      </c>
      <c r="P12" s="5" t="s">
        <v>110</v>
      </c>
      <c r="Q12" s="2" t="s">
        <v>28</v>
      </c>
      <c r="R12" s="5" t="s">
        <v>111</v>
      </c>
      <c r="S12" s="5"/>
      <c r="T12" s="5" t="s">
        <v>112</v>
      </c>
      <c r="U12" s="2"/>
      <c r="V12" s="5" t="s">
        <v>113</v>
      </c>
    </row>
    <row r="13" customFormat="false" ht="41.75" hidden="false" customHeight="false" outlineLevel="0" collapsed="false">
      <c r="A13" s="2" t="s">
        <v>22</v>
      </c>
      <c r="B13" s="2" t="s">
        <v>114</v>
      </c>
      <c r="C13" s="3" t="str">
        <f aca="false">HYPERLINK("https://www.springshosting.com","www.springshosting.com")</f>
        <v>www.springshosting.com</v>
      </c>
      <c r="D13" s="2" t="s">
        <v>92</v>
      </c>
      <c r="E13" s="4" t="n">
        <v>2006</v>
      </c>
      <c r="F13" s="4" t="n">
        <f aca="false">IF(E13="","",Method!$B$2-E13)</f>
        <v>20</v>
      </c>
      <c r="G13" s="4" t="n">
        <v>11</v>
      </c>
      <c r="H13" s="4" t="n">
        <v>25</v>
      </c>
      <c r="I13" s="5" t="s">
        <v>115</v>
      </c>
      <c r="J13" s="6" t="n">
        <f aca="false">IF(G13="","",ROUND(G13*Method!$B$3/1000000,1))</f>
        <v>1.7</v>
      </c>
      <c r="K13" s="6" t="n">
        <f aca="false">IF(H13="","",ROUND(H13*Method!$B$4/1000000,1))</f>
        <v>5</v>
      </c>
      <c r="L13" s="6" t="n">
        <f aca="false">IF(J13="","",ROUND(J13*Method!$B$6*Method!$B$7,1))</f>
        <v>1</v>
      </c>
      <c r="M13" s="6" t="n">
        <f aca="false">IF(K13="","",ROUND(K13*Method!$B$6*Method!$B$8,1))</f>
        <v>5.3</v>
      </c>
      <c r="N13" s="2" t="s">
        <v>116</v>
      </c>
      <c r="O13" s="5" t="s">
        <v>26</v>
      </c>
      <c r="P13" s="5" t="s">
        <v>117</v>
      </c>
      <c r="Q13" s="2" t="s">
        <v>45</v>
      </c>
      <c r="R13" s="5" t="s">
        <v>118</v>
      </c>
      <c r="S13" s="5"/>
      <c r="T13" s="5" t="s">
        <v>119</v>
      </c>
      <c r="U13" s="2"/>
      <c r="V13" s="5" t="s">
        <v>120</v>
      </c>
    </row>
    <row r="14" customFormat="false" ht="55.2" hidden="false" customHeight="false" outlineLevel="0" collapsed="false">
      <c r="A14" s="2" t="s">
        <v>22</v>
      </c>
      <c r="B14" s="2" t="s">
        <v>121</v>
      </c>
      <c r="C14" s="3" t="str">
        <f aca="false">HYPERLINK("https://networksunlimited.com","networksunlimited.com")</f>
        <v>networksunlimited.com</v>
      </c>
      <c r="D14" s="2" t="s">
        <v>122</v>
      </c>
      <c r="E14" s="4" t="n">
        <v>2001</v>
      </c>
      <c r="F14" s="4" t="n">
        <f aca="false">IF(E14="","",Method!$B$2-E14)</f>
        <v>25</v>
      </c>
      <c r="G14" s="4" t="n">
        <v>35</v>
      </c>
      <c r="H14" s="4" t="n">
        <v>40</v>
      </c>
      <c r="I14" s="5" t="s">
        <v>123</v>
      </c>
      <c r="J14" s="6" t="n">
        <f aca="false">IF(G14="","",ROUND(G14*Method!$B$3/1000000,1))</f>
        <v>5.3</v>
      </c>
      <c r="K14" s="6" t="n">
        <f aca="false">IF(H14="","",ROUND(H14*Method!$B$4/1000000,1))</f>
        <v>8</v>
      </c>
      <c r="L14" s="6" t="n">
        <f aca="false">IF(J14="","",ROUND(J14*Method!$B$6*Method!$B$7,1))</f>
        <v>3.2</v>
      </c>
      <c r="M14" s="6" t="n">
        <f aca="false">IF(K14="","",ROUND(K14*Method!$B$6*Method!$B$8,1))</f>
        <v>8.4</v>
      </c>
      <c r="N14" s="2"/>
      <c r="O14" s="5" t="s">
        <v>26</v>
      </c>
      <c r="P14" s="5" t="s">
        <v>124</v>
      </c>
      <c r="Q14" s="2" t="s">
        <v>125</v>
      </c>
      <c r="R14" s="5" t="s">
        <v>126</v>
      </c>
      <c r="S14" s="5"/>
      <c r="T14" s="5" t="s">
        <v>127</v>
      </c>
      <c r="U14" s="2"/>
      <c r="V14" s="5" t="s">
        <v>128</v>
      </c>
    </row>
    <row r="15" customFormat="false" ht="41.75" hidden="false" customHeight="false" outlineLevel="0" collapsed="false">
      <c r="A15" s="2" t="s">
        <v>22</v>
      </c>
      <c r="B15" s="2" t="s">
        <v>129</v>
      </c>
      <c r="C15" s="3" t="str">
        <f aca="false">HYPERLINK("https://belltechpros.com","belltechpros.com")</f>
        <v>belltechpros.com</v>
      </c>
      <c r="D15" s="2" t="s">
        <v>130</v>
      </c>
      <c r="E15" s="2"/>
      <c r="F15" s="2"/>
      <c r="G15" s="4" t="n">
        <v>8</v>
      </c>
      <c r="H15" s="4" t="n">
        <v>15</v>
      </c>
      <c r="I15" s="5" t="s">
        <v>131</v>
      </c>
      <c r="J15" s="6" t="n">
        <f aca="false">IF(G15="","",ROUND(G15*Method!$B$3/1000000,1))</f>
        <v>1.2</v>
      </c>
      <c r="K15" s="6" t="n">
        <f aca="false">IF(H15="","",ROUND(H15*Method!$B$4/1000000,1))</f>
        <v>3</v>
      </c>
      <c r="L15" s="6" t="n">
        <f aca="false">IF(J15="","",ROUND(J15*Method!$B$6*Method!$B$7,1))</f>
        <v>0.7</v>
      </c>
      <c r="M15" s="6" t="n">
        <f aca="false">IF(K15="","",ROUND(K15*Method!$B$6*Method!$B$8,1))</f>
        <v>3.2</v>
      </c>
      <c r="N15" s="2"/>
      <c r="O15" s="5" t="s">
        <v>26</v>
      </c>
      <c r="P15" s="5" t="s">
        <v>132</v>
      </c>
      <c r="Q15" s="2" t="s">
        <v>45</v>
      </c>
      <c r="R15" s="5" t="s">
        <v>133</v>
      </c>
      <c r="S15" s="5" t="s">
        <v>134</v>
      </c>
      <c r="T15" s="5" t="s">
        <v>135</v>
      </c>
      <c r="U15" s="2"/>
      <c r="V15" s="5" t="s">
        <v>136</v>
      </c>
    </row>
    <row r="16" customFormat="false" ht="41.75" hidden="false" customHeight="false" outlineLevel="0" collapsed="false">
      <c r="A16" s="2" t="s">
        <v>22</v>
      </c>
      <c r="B16" s="2" t="s">
        <v>137</v>
      </c>
      <c r="C16" s="3" t="str">
        <f aca="false">HYPERLINK("https://mitchandco.com","mitchandco.com")</f>
        <v>mitchandco.com</v>
      </c>
      <c r="D16" s="2" t="s">
        <v>138</v>
      </c>
      <c r="E16" s="4" t="n">
        <v>1996</v>
      </c>
      <c r="F16" s="4" t="n">
        <f aca="false">IF(E16="","",Method!$B$2-E16)</f>
        <v>30</v>
      </c>
      <c r="G16" s="4" t="n">
        <v>5</v>
      </c>
      <c r="H16" s="4" t="n">
        <v>15</v>
      </c>
      <c r="I16" s="5" t="s">
        <v>131</v>
      </c>
      <c r="J16" s="6" t="n">
        <f aca="false">IF(G16="","",ROUND(G16*Method!$B$3/1000000,1))</f>
        <v>0.8</v>
      </c>
      <c r="K16" s="6" t="n">
        <f aca="false">IF(H16="","",ROUND(H16*Method!$B$4/1000000,1))</f>
        <v>3</v>
      </c>
      <c r="L16" s="6" t="n">
        <f aca="false">IF(J16="","",ROUND(J16*Method!$B$6*Method!$B$7,1))</f>
        <v>0.5</v>
      </c>
      <c r="M16" s="6" t="n">
        <f aca="false">IF(K16="","",ROUND(K16*Method!$B$6*Method!$B$8,1))</f>
        <v>3.2</v>
      </c>
      <c r="N16" s="2"/>
      <c r="O16" s="5" t="s">
        <v>26</v>
      </c>
      <c r="P16" s="5" t="s">
        <v>139</v>
      </c>
      <c r="Q16" s="2" t="s">
        <v>45</v>
      </c>
      <c r="R16" s="5" t="s">
        <v>140</v>
      </c>
      <c r="S16" s="5"/>
      <c r="T16" s="5" t="s">
        <v>141</v>
      </c>
      <c r="U16" s="2"/>
      <c r="V16" s="5" t="s">
        <v>142</v>
      </c>
    </row>
    <row r="17" customFormat="false" ht="55.2" hidden="false" customHeight="false" outlineLevel="0" collapsed="false">
      <c r="A17" s="2" t="s">
        <v>22</v>
      </c>
      <c r="B17" s="2" t="s">
        <v>143</v>
      </c>
      <c r="C17" s="3" t="str">
        <f aca="false">HYPERLINK("https://decyphertech.com","decyphertech.com")</f>
        <v>decyphertech.com</v>
      </c>
      <c r="D17" s="2" t="s">
        <v>144</v>
      </c>
      <c r="E17" s="4" t="n">
        <v>2003</v>
      </c>
      <c r="F17" s="4" t="n">
        <f aca="false">IF(E17="","",Method!$B$2-E17)</f>
        <v>23</v>
      </c>
      <c r="G17" s="4" t="n">
        <v>20</v>
      </c>
      <c r="H17" s="4" t="n">
        <v>25</v>
      </c>
      <c r="I17" s="5" t="s">
        <v>145</v>
      </c>
      <c r="J17" s="6" t="n">
        <f aca="false">IF(G17="","",ROUND(G17*Method!$B$3/1000000,1))</f>
        <v>3</v>
      </c>
      <c r="K17" s="6" t="n">
        <f aca="false">IF(H17="","",ROUND(H17*Method!$B$4/1000000,1))</f>
        <v>5</v>
      </c>
      <c r="L17" s="6" t="n">
        <f aca="false">IF(J17="","",ROUND(J17*Method!$B$6*Method!$B$7,1))</f>
        <v>1.8</v>
      </c>
      <c r="M17" s="6" t="n">
        <f aca="false">IF(K17="","",ROUND(K17*Method!$B$6*Method!$B$8,1))</f>
        <v>5.3</v>
      </c>
      <c r="N17" s="2"/>
      <c r="O17" s="5" t="s">
        <v>146</v>
      </c>
      <c r="P17" s="5" t="s">
        <v>147</v>
      </c>
      <c r="Q17" s="2" t="s">
        <v>148</v>
      </c>
      <c r="R17" s="5" t="s">
        <v>149</v>
      </c>
      <c r="S17" s="5"/>
      <c r="T17" s="5" t="s">
        <v>150</v>
      </c>
      <c r="U17" s="2"/>
      <c r="V17" s="5" t="s">
        <v>151</v>
      </c>
    </row>
    <row r="18" customFormat="false" ht="55.2" hidden="false" customHeight="false" outlineLevel="0" collapsed="false">
      <c r="A18" s="2" t="s">
        <v>22</v>
      </c>
      <c r="B18" s="2" t="s">
        <v>152</v>
      </c>
      <c r="C18" s="3" t="str">
        <f aca="false">HYPERLINK("https://northwestdata.com","northwestdata.com")</f>
        <v>northwestdata.com</v>
      </c>
      <c r="D18" s="2" t="s">
        <v>153</v>
      </c>
      <c r="E18" s="2"/>
      <c r="F18" s="2"/>
      <c r="G18" s="4" t="n">
        <v>10</v>
      </c>
      <c r="H18" s="4" t="n">
        <v>25</v>
      </c>
      <c r="I18" s="5" t="s">
        <v>154</v>
      </c>
      <c r="J18" s="6" t="n">
        <f aca="false">IF(G18="","",ROUND(G18*Method!$B$3/1000000,1))</f>
        <v>1.5</v>
      </c>
      <c r="K18" s="6" t="n">
        <f aca="false">IF(H18="","",ROUND(H18*Method!$B$4/1000000,1))</f>
        <v>5</v>
      </c>
      <c r="L18" s="6" t="n">
        <f aca="false">IF(J18="","",ROUND(J18*Method!$B$6*Method!$B$7,1))</f>
        <v>0.9</v>
      </c>
      <c r="M18" s="6" t="n">
        <f aca="false">IF(K18="","",ROUND(K18*Method!$B$6*Method!$B$8,1))</f>
        <v>5.3</v>
      </c>
      <c r="N18" s="2"/>
      <c r="O18" s="5" t="s">
        <v>155</v>
      </c>
      <c r="P18" s="5" t="s">
        <v>156</v>
      </c>
      <c r="Q18" s="2" t="s">
        <v>148</v>
      </c>
      <c r="R18" s="5" t="s">
        <v>157</v>
      </c>
      <c r="S18" s="5"/>
      <c r="T18" s="5" t="s">
        <v>158</v>
      </c>
      <c r="U18" s="2"/>
      <c r="V18" s="5" t="s">
        <v>159</v>
      </c>
    </row>
    <row r="19" customFormat="false" ht="55.2" hidden="false" customHeight="false" outlineLevel="0" collapsed="false">
      <c r="A19" s="7" t="s">
        <v>160</v>
      </c>
      <c r="B19" s="7" t="s">
        <v>161</v>
      </c>
      <c r="C19" s="8" t="str">
        <f aca="false">HYPERLINK("https://kcsbus.com","kcsbus.com")</f>
        <v>kcsbus.com</v>
      </c>
      <c r="D19" s="7" t="s">
        <v>162</v>
      </c>
      <c r="E19" s="9" t="n">
        <v>1990</v>
      </c>
      <c r="F19" s="9" t="n">
        <f aca="false">IF(E19="","",Method!$B$2-E19)</f>
        <v>36</v>
      </c>
      <c r="G19" s="9" t="n">
        <v>40</v>
      </c>
      <c r="H19" s="9" t="n">
        <v>40</v>
      </c>
      <c r="I19" s="10" t="s">
        <v>163</v>
      </c>
      <c r="J19" s="11" t="n">
        <f aca="false">IF(G19="","",ROUND(G19*Method!$B$3/1000000,1))</f>
        <v>6</v>
      </c>
      <c r="K19" s="11" t="n">
        <f aca="false">IF(H19="","",ROUND(H19*Method!$B$4/1000000,1))</f>
        <v>8</v>
      </c>
      <c r="L19" s="11" t="n">
        <f aca="false">IF(J19="","",ROUND(J19*Method!$B$6*Method!$B$7,1))</f>
        <v>3.6</v>
      </c>
      <c r="M19" s="11" t="n">
        <f aca="false">IF(K19="","",ROUND(K19*Method!$B$6*Method!$B$8,1))</f>
        <v>8.4</v>
      </c>
      <c r="N19" s="7"/>
      <c r="O19" s="10" t="s">
        <v>164</v>
      </c>
      <c r="P19" s="10" t="s">
        <v>165</v>
      </c>
      <c r="Q19" s="7" t="s">
        <v>125</v>
      </c>
      <c r="R19" s="10" t="s">
        <v>166</v>
      </c>
      <c r="S19" s="10" t="s">
        <v>167</v>
      </c>
      <c r="T19" s="10" t="s">
        <v>168</v>
      </c>
      <c r="U19" s="7" t="s">
        <v>169</v>
      </c>
      <c r="V19" s="10" t="s">
        <v>170</v>
      </c>
    </row>
    <row r="20" customFormat="false" ht="55.2" hidden="false" customHeight="false" outlineLevel="0" collapsed="false">
      <c r="A20" s="7" t="s">
        <v>160</v>
      </c>
      <c r="B20" s="7" t="s">
        <v>171</v>
      </c>
      <c r="C20" s="8" t="str">
        <f aca="false">HYPERLINK("https://trinware.com","trinware.com")</f>
        <v>trinware.com</v>
      </c>
      <c r="D20" s="7" t="s">
        <v>172</v>
      </c>
      <c r="E20" s="9" t="n">
        <v>2004</v>
      </c>
      <c r="F20" s="9" t="n">
        <f aca="false">IF(E20="","",Method!$B$2-E20)</f>
        <v>22</v>
      </c>
      <c r="G20" s="9" t="n">
        <v>27</v>
      </c>
      <c r="H20" s="9" t="n">
        <v>28</v>
      </c>
      <c r="I20" s="10" t="s">
        <v>173</v>
      </c>
      <c r="J20" s="11" t="n">
        <f aca="false">IF(G20="","",ROUND(G20*Method!$B$3/1000000,1))</f>
        <v>4.1</v>
      </c>
      <c r="K20" s="11" t="n">
        <f aca="false">IF(H20="","",ROUND(H20*Method!$B$4/1000000,1))</f>
        <v>5.6</v>
      </c>
      <c r="L20" s="11" t="n">
        <f aca="false">IF(J20="","",ROUND(J20*Method!$B$6*Method!$B$7,1))</f>
        <v>2.5</v>
      </c>
      <c r="M20" s="11" t="n">
        <f aca="false">IF(K20="","",ROUND(K20*Method!$B$6*Method!$B$8,1))</f>
        <v>5.9</v>
      </c>
      <c r="N20" s="7"/>
      <c r="O20" s="10" t="s">
        <v>52</v>
      </c>
      <c r="P20" s="10" t="s">
        <v>174</v>
      </c>
      <c r="Q20" s="7" t="s">
        <v>45</v>
      </c>
      <c r="R20" s="10" t="s">
        <v>175</v>
      </c>
      <c r="S20" s="10"/>
      <c r="T20" s="10" t="s">
        <v>176</v>
      </c>
      <c r="U20" s="7"/>
      <c r="V20" s="10" t="s">
        <v>177</v>
      </c>
    </row>
    <row r="21" customFormat="false" ht="55.2" hidden="false" customHeight="false" outlineLevel="0" collapsed="false">
      <c r="A21" s="7" t="s">
        <v>160</v>
      </c>
      <c r="B21" s="7" t="s">
        <v>178</v>
      </c>
      <c r="C21" s="8" t="str">
        <f aca="false">HYPERLINK("https://www.ecreekit.com","www.ecreekit.com")</f>
        <v>www.ecreekit.com</v>
      </c>
      <c r="D21" s="7" t="s">
        <v>59</v>
      </c>
      <c r="E21" s="9" t="n">
        <v>2004</v>
      </c>
      <c r="F21" s="9" t="n">
        <f aca="false">IF(E21="","",Method!$B$2-E21)</f>
        <v>22</v>
      </c>
      <c r="G21" s="9" t="n">
        <v>15</v>
      </c>
      <c r="H21" s="9" t="n">
        <v>22</v>
      </c>
      <c r="I21" s="10" t="s">
        <v>179</v>
      </c>
      <c r="J21" s="11" t="n">
        <f aca="false">IF(G21="","",ROUND(G21*Method!$B$3/1000000,1))</f>
        <v>2.3</v>
      </c>
      <c r="K21" s="11" t="n">
        <f aca="false">IF(H21="","",ROUND(H21*Method!$B$4/1000000,1))</f>
        <v>4.4</v>
      </c>
      <c r="L21" s="11" t="n">
        <f aca="false">IF(J21="","",ROUND(J21*Method!$B$6*Method!$B$7,1))</f>
        <v>1.4</v>
      </c>
      <c r="M21" s="11" t="n">
        <f aca="false">IF(K21="","",ROUND(K21*Method!$B$6*Method!$B$8,1))</f>
        <v>4.6</v>
      </c>
      <c r="N21" s="7"/>
      <c r="O21" s="10" t="s">
        <v>180</v>
      </c>
      <c r="P21" s="10" t="s">
        <v>181</v>
      </c>
      <c r="Q21" s="7" t="s">
        <v>45</v>
      </c>
      <c r="R21" s="10" t="s">
        <v>182</v>
      </c>
      <c r="S21" s="10" t="s">
        <v>183</v>
      </c>
      <c r="T21" s="10" t="s">
        <v>184</v>
      </c>
      <c r="U21" s="7" t="s">
        <v>185</v>
      </c>
      <c r="V21" s="10" t="s">
        <v>186</v>
      </c>
    </row>
    <row r="22" customFormat="false" ht="41.75" hidden="false" customHeight="false" outlineLevel="0" collapsed="false">
      <c r="A22" s="2" t="s">
        <v>22</v>
      </c>
      <c r="B22" s="2" t="s">
        <v>187</v>
      </c>
      <c r="C22" s="3" t="str">
        <f aca="false">HYPERLINK("https://oati1.com","oati1.com")</f>
        <v>oati1.com</v>
      </c>
      <c r="D22" s="2" t="s">
        <v>188</v>
      </c>
      <c r="E22" s="4" t="n">
        <v>1994</v>
      </c>
      <c r="F22" s="4" t="n">
        <f aca="false">IF(E22="","",Method!$B$2-E22)</f>
        <v>32</v>
      </c>
      <c r="G22" s="4" t="n">
        <v>10</v>
      </c>
      <c r="H22" s="4" t="n">
        <v>49</v>
      </c>
      <c r="I22" s="5" t="s">
        <v>189</v>
      </c>
      <c r="J22" s="6" t="n">
        <f aca="false">IF(G22="","",ROUND(G22*Method!$B$3/1000000,1))</f>
        <v>1.5</v>
      </c>
      <c r="K22" s="6" t="n">
        <f aca="false">IF(H22="","",ROUND(H22*Method!$B$4/1000000,1))</f>
        <v>9.8</v>
      </c>
      <c r="L22" s="6" t="n">
        <f aca="false">IF(J22="","",ROUND(J22*Method!$B$6*Method!$B$7,1))</f>
        <v>0.9</v>
      </c>
      <c r="M22" s="6" t="n">
        <f aca="false">IF(K22="","",ROUND(K22*Method!$B$6*Method!$B$8,1))</f>
        <v>10.3</v>
      </c>
      <c r="N22" s="2"/>
      <c r="O22" s="5" t="s">
        <v>190</v>
      </c>
      <c r="P22" s="5" t="s">
        <v>191</v>
      </c>
      <c r="Q22" s="2" t="s">
        <v>45</v>
      </c>
      <c r="R22" s="5" t="s">
        <v>192</v>
      </c>
      <c r="S22" s="5"/>
      <c r="T22" s="5" t="s">
        <v>193</v>
      </c>
      <c r="U22" s="2" t="s">
        <v>194</v>
      </c>
      <c r="V22" s="5"/>
    </row>
    <row r="23" customFormat="false" ht="41.75" hidden="false" customHeight="false" outlineLevel="0" collapsed="false">
      <c r="A23" s="2" t="s">
        <v>22</v>
      </c>
      <c r="B23" s="2" t="s">
        <v>195</v>
      </c>
      <c r="C23" s="3" t="str">
        <f aca="false">HYPERLINK("https://www.nssit.com","www.nssit.com")</f>
        <v>www.nssit.com</v>
      </c>
      <c r="D23" s="2" t="s">
        <v>59</v>
      </c>
      <c r="E23" s="4" t="n">
        <v>1992</v>
      </c>
      <c r="F23" s="4" t="n">
        <f aca="false">IF(E23="","",Method!$B$2-E23)</f>
        <v>34</v>
      </c>
      <c r="G23" s="4" t="n">
        <v>5</v>
      </c>
      <c r="H23" s="4" t="n">
        <v>15</v>
      </c>
      <c r="I23" s="5" t="s">
        <v>196</v>
      </c>
      <c r="J23" s="6" t="n">
        <f aca="false">IF(G23="","",ROUND(G23*Method!$B$3/1000000,1))</f>
        <v>0.8</v>
      </c>
      <c r="K23" s="6" t="n">
        <f aca="false">IF(H23="","",ROUND(H23*Method!$B$4/1000000,1))</f>
        <v>3</v>
      </c>
      <c r="L23" s="6" t="n">
        <f aca="false">IF(J23="","",ROUND(J23*Method!$B$6*Method!$B$7,1))</f>
        <v>0.5</v>
      </c>
      <c r="M23" s="6" t="n">
        <f aca="false">IF(K23="","",ROUND(K23*Method!$B$6*Method!$B$8,1))</f>
        <v>3.2</v>
      </c>
      <c r="N23" s="2"/>
      <c r="O23" s="5" t="s">
        <v>197</v>
      </c>
      <c r="P23" s="5" t="s">
        <v>198</v>
      </c>
      <c r="Q23" s="2" t="s">
        <v>45</v>
      </c>
      <c r="R23" s="5" t="s">
        <v>199</v>
      </c>
      <c r="S23" s="5"/>
      <c r="T23" s="5" t="s">
        <v>200</v>
      </c>
      <c r="U23" s="2"/>
      <c r="V23" s="5" t="s">
        <v>201</v>
      </c>
    </row>
    <row r="24" customFormat="false" ht="41.75" hidden="false" customHeight="false" outlineLevel="0" collapsed="false">
      <c r="A24" s="7" t="s">
        <v>160</v>
      </c>
      <c r="B24" s="7" t="s">
        <v>202</v>
      </c>
      <c r="C24" s="8" t="str">
        <f aca="false">HYPERLINK("https://k3techs.com","k3techs.com")</f>
        <v>k3techs.com</v>
      </c>
      <c r="D24" s="7" t="s">
        <v>203</v>
      </c>
      <c r="E24" s="9" t="n">
        <v>2017</v>
      </c>
      <c r="F24" s="9" t="n">
        <f aca="false">IF(E24="","",Method!$B$2-E24)</f>
        <v>9</v>
      </c>
      <c r="G24" s="9" t="n">
        <v>27</v>
      </c>
      <c r="H24" s="9" t="n">
        <v>27</v>
      </c>
      <c r="I24" s="10" t="s">
        <v>204</v>
      </c>
      <c r="J24" s="11" t="n">
        <f aca="false">IF(G24="","",ROUND(G24*Method!$B$3/1000000,1))</f>
        <v>4.1</v>
      </c>
      <c r="K24" s="11" t="n">
        <f aca="false">IF(H24="","",ROUND(H24*Method!$B$4/1000000,1))</f>
        <v>5.4</v>
      </c>
      <c r="L24" s="11" t="n">
        <f aca="false">IF(J24="","",ROUND(J24*Method!$B$6*Method!$B$7,1))</f>
        <v>2.5</v>
      </c>
      <c r="M24" s="11" t="n">
        <f aca="false">IF(K24="","",ROUND(K24*Method!$B$6*Method!$B$8,1))</f>
        <v>5.7</v>
      </c>
      <c r="N24" s="7"/>
      <c r="O24" s="10" t="s">
        <v>205</v>
      </c>
      <c r="P24" s="10" t="s">
        <v>206</v>
      </c>
      <c r="Q24" s="7" t="s">
        <v>125</v>
      </c>
      <c r="R24" s="10" t="s">
        <v>207</v>
      </c>
      <c r="S24" s="10"/>
      <c r="T24" s="10" t="s">
        <v>208</v>
      </c>
      <c r="U24" s="7" t="s">
        <v>209</v>
      </c>
      <c r="V24" s="10"/>
    </row>
    <row r="25" customFormat="false" ht="28.35" hidden="false" customHeight="false" outlineLevel="0" collapsed="false">
      <c r="A25" s="7" t="s">
        <v>160</v>
      </c>
      <c r="B25" s="7" t="s">
        <v>210</v>
      </c>
      <c r="C25" s="8" t="str">
        <f aca="false">HYPERLINK("https://lark-it.com","lark-it.com")</f>
        <v>lark-it.com</v>
      </c>
      <c r="D25" s="7" t="s">
        <v>59</v>
      </c>
      <c r="E25" s="9" t="n">
        <v>2003</v>
      </c>
      <c r="F25" s="9" t="n">
        <f aca="false">IF(E25="","",Method!$B$2-E25)</f>
        <v>23</v>
      </c>
      <c r="G25" s="9" t="n">
        <v>15</v>
      </c>
      <c r="H25" s="9" t="n">
        <v>25</v>
      </c>
      <c r="I25" s="10" t="s">
        <v>211</v>
      </c>
      <c r="J25" s="11" t="n">
        <f aca="false">IF(G25="","",ROUND(G25*Method!$B$3/1000000,1))</f>
        <v>2.3</v>
      </c>
      <c r="K25" s="11" t="n">
        <f aca="false">IF(H25="","",ROUND(H25*Method!$B$4/1000000,1))</f>
        <v>5</v>
      </c>
      <c r="L25" s="11" t="n">
        <f aca="false">IF(J25="","",ROUND(J25*Method!$B$6*Method!$B$7,1))</f>
        <v>1.4</v>
      </c>
      <c r="M25" s="11" t="n">
        <f aca="false">IF(K25="","",ROUND(K25*Method!$B$6*Method!$B$8,1))</f>
        <v>5.3</v>
      </c>
      <c r="N25" s="7"/>
      <c r="O25" s="10" t="s">
        <v>61</v>
      </c>
      <c r="P25" s="10" t="s">
        <v>212</v>
      </c>
      <c r="Q25" s="7" t="s">
        <v>45</v>
      </c>
      <c r="R25" s="10" t="s">
        <v>213</v>
      </c>
      <c r="S25" s="10"/>
      <c r="T25" s="10" t="s">
        <v>214</v>
      </c>
      <c r="U25" s="7"/>
      <c r="V25" s="10"/>
    </row>
    <row r="26" customFormat="false" ht="55.2" hidden="false" customHeight="false" outlineLevel="0" collapsed="false">
      <c r="A26" s="7" t="s">
        <v>160</v>
      </c>
      <c r="B26" s="7" t="s">
        <v>215</v>
      </c>
      <c r="C26" s="8" t="str">
        <f aca="false">HYPERLINK("https://springsit.com","springsit.com")</f>
        <v>springsit.com</v>
      </c>
      <c r="D26" s="7" t="s">
        <v>92</v>
      </c>
      <c r="E26" s="9" t="n">
        <v>2015</v>
      </c>
      <c r="F26" s="9" t="n">
        <f aca="false">IF(E26="","",Method!$B$2-E26)</f>
        <v>11</v>
      </c>
      <c r="G26" s="9" t="n">
        <v>5</v>
      </c>
      <c r="H26" s="9" t="n">
        <v>15</v>
      </c>
      <c r="I26" s="10" t="s">
        <v>216</v>
      </c>
      <c r="J26" s="11" t="n">
        <f aca="false">IF(G26="","",ROUND(G26*Method!$B$3/1000000,1))</f>
        <v>0.8</v>
      </c>
      <c r="K26" s="11" t="n">
        <f aca="false">IF(H26="","",ROUND(H26*Method!$B$4/1000000,1))</f>
        <v>3</v>
      </c>
      <c r="L26" s="11" t="n">
        <f aca="false">IF(J26="","",ROUND(J26*Method!$B$6*Method!$B$7,1))</f>
        <v>0.5</v>
      </c>
      <c r="M26" s="11" t="n">
        <f aca="false">IF(K26="","",ROUND(K26*Method!$B$6*Method!$B$8,1))</f>
        <v>3.2</v>
      </c>
      <c r="N26" s="7"/>
      <c r="O26" s="10" t="s">
        <v>217</v>
      </c>
      <c r="P26" s="10" t="s">
        <v>206</v>
      </c>
      <c r="Q26" s="7" t="s">
        <v>218</v>
      </c>
      <c r="R26" s="10" t="s">
        <v>219</v>
      </c>
      <c r="S26" s="10"/>
      <c r="T26" s="10" t="s">
        <v>220</v>
      </c>
      <c r="U26" s="7" t="s">
        <v>221</v>
      </c>
      <c r="V26" s="10"/>
    </row>
    <row r="27" customFormat="false" ht="41.75" hidden="false" customHeight="false" outlineLevel="0" collapsed="false">
      <c r="A27" s="7" t="s">
        <v>160</v>
      </c>
      <c r="B27" s="7" t="s">
        <v>222</v>
      </c>
      <c r="C27" s="8" t="str">
        <f aca="false">HYPERLINK("https://rain.tech","rain.tech")</f>
        <v>rain.tech</v>
      </c>
      <c r="D27" s="7" t="s">
        <v>92</v>
      </c>
      <c r="E27" s="9" t="n">
        <v>2001</v>
      </c>
      <c r="F27" s="9" t="n">
        <f aca="false">IF(E27="","",Method!$B$2-E27)</f>
        <v>25</v>
      </c>
      <c r="G27" s="9" t="n">
        <v>10</v>
      </c>
      <c r="H27" s="9" t="n">
        <v>25</v>
      </c>
      <c r="I27" s="10" t="s">
        <v>131</v>
      </c>
      <c r="J27" s="11" t="n">
        <f aca="false">IF(G27="","",ROUND(G27*Method!$B$3/1000000,1))</f>
        <v>1.5</v>
      </c>
      <c r="K27" s="11" t="n">
        <f aca="false">IF(H27="","",ROUND(H27*Method!$B$4/1000000,1))</f>
        <v>5</v>
      </c>
      <c r="L27" s="11" t="n">
        <f aca="false">IF(J27="","",ROUND(J27*Method!$B$6*Method!$B$7,1))</f>
        <v>0.9</v>
      </c>
      <c r="M27" s="11" t="n">
        <f aca="false">IF(K27="","",ROUND(K27*Method!$B$6*Method!$B$8,1))</f>
        <v>5.3</v>
      </c>
      <c r="N27" s="7"/>
      <c r="O27" s="10" t="s">
        <v>223</v>
      </c>
      <c r="P27" s="10" t="s">
        <v>224</v>
      </c>
      <c r="Q27" s="7" t="s">
        <v>148</v>
      </c>
      <c r="R27" s="10" t="s">
        <v>225</v>
      </c>
      <c r="S27" s="10"/>
      <c r="T27" s="10" t="s">
        <v>226</v>
      </c>
      <c r="U27" s="7" t="s">
        <v>227</v>
      </c>
      <c r="V27" s="10" t="s">
        <v>228</v>
      </c>
    </row>
    <row r="28" customFormat="false" ht="28.35" hidden="false" customHeight="false" outlineLevel="0" collapsed="false">
      <c r="A28" s="7" t="s">
        <v>160</v>
      </c>
      <c r="B28" s="7" t="s">
        <v>229</v>
      </c>
      <c r="C28" s="8" t="str">
        <f aca="false">HYPERLINK("https://coloradohitechsolutions.com","coloradohitechsolutions.com")</f>
        <v>coloradohitechsolutions.com</v>
      </c>
      <c r="D28" s="7" t="s">
        <v>92</v>
      </c>
      <c r="E28" s="9" t="n">
        <v>1996</v>
      </c>
      <c r="F28" s="9" t="n">
        <f aca="false">IF(E28="","",Method!$B$2-E28)</f>
        <v>30</v>
      </c>
      <c r="G28" s="9" t="n">
        <v>10</v>
      </c>
      <c r="H28" s="9" t="n">
        <v>49</v>
      </c>
      <c r="I28" s="10" t="s">
        <v>230</v>
      </c>
      <c r="J28" s="11" t="n">
        <f aca="false">IF(G28="","",ROUND(G28*Method!$B$3/1000000,1))</f>
        <v>1.5</v>
      </c>
      <c r="K28" s="11" t="n">
        <f aca="false">IF(H28="","",ROUND(H28*Method!$B$4/1000000,1))</f>
        <v>9.8</v>
      </c>
      <c r="L28" s="11" t="n">
        <f aca="false">IF(J28="","",ROUND(J28*Method!$B$6*Method!$B$7,1))</f>
        <v>0.9</v>
      </c>
      <c r="M28" s="11" t="n">
        <f aca="false">IF(K28="","",ROUND(K28*Method!$B$6*Method!$B$8,1))</f>
        <v>10.3</v>
      </c>
      <c r="N28" s="7"/>
      <c r="O28" s="10" t="s">
        <v>231</v>
      </c>
      <c r="P28" s="10" t="s">
        <v>232</v>
      </c>
      <c r="Q28" s="7" t="s">
        <v>45</v>
      </c>
      <c r="R28" s="10" t="s">
        <v>233</v>
      </c>
      <c r="S28" s="10"/>
      <c r="T28" s="10" t="s">
        <v>234</v>
      </c>
      <c r="U28" s="7"/>
      <c r="V28" s="10"/>
    </row>
    <row r="29" customFormat="false" ht="55.2" hidden="false" customHeight="false" outlineLevel="0" collapsed="false">
      <c r="A29" s="7" t="s">
        <v>160</v>
      </c>
      <c r="B29" s="7" t="s">
        <v>235</v>
      </c>
      <c r="C29" s="8" t="str">
        <f aca="false">HYPERLINK("https://techframework.com","techframework.com")</f>
        <v>techframework.com</v>
      </c>
      <c r="D29" s="7" t="s">
        <v>236</v>
      </c>
      <c r="E29" s="9" t="n">
        <v>2012</v>
      </c>
      <c r="F29" s="9" t="n">
        <f aca="false">IF(E29="","",Method!$B$2-E29)</f>
        <v>14</v>
      </c>
      <c r="G29" s="9" t="n">
        <v>5</v>
      </c>
      <c r="H29" s="9" t="n">
        <v>10</v>
      </c>
      <c r="I29" s="10" t="s">
        <v>237</v>
      </c>
      <c r="J29" s="11" t="n">
        <f aca="false">IF(G29="","",ROUND(G29*Method!$B$3/1000000,1))</f>
        <v>0.8</v>
      </c>
      <c r="K29" s="11" t="n">
        <f aca="false">IF(H29="","",ROUND(H29*Method!$B$4/1000000,1))</f>
        <v>2</v>
      </c>
      <c r="L29" s="11" t="n">
        <f aca="false">IF(J29="","",ROUND(J29*Method!$B$6*Method!$B$7,1))</f>
        <v>0.5</v>
      </c>
      <c r="M29" s="11" t="n">
        <f aca="false">IF(K29="","",ROUND(K29*Method!$B$6*Method!$B$8,1))</f>
        <v>2.1</v>
      </c>
      <c r="N29" s="7"/>
      <c r="O29" s="10" t="s">
        <v>36</v>
      </c>
      <c r="P29" s="10" t="s">
        <v>238</v>
      </c>
      <c r="Q29" s="7" t="s">
        <v>125</v>
      </c>
      <c r="R29" s="10" t="s">
        <v>239</v>
      </c>
      <c r="S29" s="10" t="s">
        <v>240</v>
      </c>
      <c r="T29" s="10" t="s">
        <v>241</v>
      </c>
      <c r="U29" s="7"/>
      <c r="V29" s="10" t="s">
        <v>242</v>
      </c>
    </row>
    <row r="30" customFormat="false" ht="55.2" hidden="false" customHeight="false" outlineLevel="0" collapsed="false">
      <c r="A30" s="7" t="s">
        <v>160</v>
      </c>
      <c r="B30" s="7" t="s">
        <v>243</v>
      </c>
      <c r="C30" s="8" t="str">
        <f aca="false">HYPERLINK("https://ipoint-tech.com","ipoint-tech.com")</f>
        <v>ipoint-tech.com</v>
      </c>
      <c r="D30" s="7" t="s">
        <v>24</v>
      </c>
      <c r="E30" s="9" t="n">
        <v>2002</v>
      </c>
      <c r="F30" s="9" t="n">
        <f aca="false">IF(E30="","",Method!$B$2-E30)</f>
        <v>24</v>
      </c>
      <c r="G30" s="9" t="n">
        <v>10</v>
      </c>
      <c r="H30" s="9" t="n">
        <v>20</v>
      </c>
      <c r="I30" s="10" t="s">
        <v>244</v>
      </c>
      <c r="J30" s="11" t="n">
        <f aca="false">IF(G30="","",ROUND(G30*Method!$B$3/1000000,1))</f>
        <v>1.5</v>
      </c>
      <c r="K30" s="11" t="n">
        <f aca="false">IF(H30="","",ROUND(H30*Method!$B$4/1000000,1))</f>
        <v>4</v>
      </c>
      <c r="L30" s="11" t="n">
        <f aca="false">IF(J30="","",ROUND(J30*Method!$B$6*Method!$B$7,1))</f>
        <v>0.9</v>
      </c>
      <c r="M30" s="11" t="n">
        <f aca="false">IF(K30="","",ROUND(K30*Method!$B$6*Method!$B$8,1))</f>
        <v>4.2</v>
      </c>
      <c r="N30" s="7" t="s">
        <v>245</v>
      </c>
      <c r="O30" s="10" t="s">
        <v>36</v>
      </c>
      <c r="P30" s="10" t="s">
        <v>246</v>
      </c>
      <c r="Q30" s="7" t="s">
        <v>45</v>
      </c>
      <c r="R30" s="10" t="s">
        <v>247</v>
      </c>
      <c r="S30" s="10"/>
      <c r="T30" s="10" t="s">
        <v>248</v>
      </c>
      <c r="U30" s="7"/>
      <c r="V30" s="10"/>
    </row>
    <row r="31" customFormat="false" ht="41.75" hidden="false" customHeight="false" outlineLevel="0" collapsed="false">
      <c r="A31" s="7" t="s">
        <v>160</v>
      </c>
      <c r="B31" s="7" t="s">
        <v>249</v>
      </c>
      <c r="C31" s="8" t="str">
        <f aca="false">HYPERLINK("https://crownpointsolutions.com","crownpointsolutions.com")</f>
        <v>crownpointsolutions.com</v>
      </c>
      <c r="D31" s="7" t="s">
        <v>250</v>
      </c>
      <c r="E31" s="9" t="n">
        <v>2003</v>
      </c>
      <c r="F31" s="9" t="n">
        <f aca="false">IF(E31="","",Method!$B$2-E31)</f>
        <v>23</v>
      </c>
      <c r="G31" s="9" t="n">
        <v>5</v>
      </c>
      <c r="H31" s="9" t="n">
        <v>15</v>
      </c>
      <c r="I31" s="10" t="s">
        <v>216</v>
      </c>
      <c r="J31" s="11" t="n">
        <f aca="false">IF(G31="","",ROUND(G31*Method!$B$3/1000000,1))</f>
        <v>0.8</v>
      </c>
      <c r="K31" s="11" t="n">
        <f aca="false">IF(H31="","",ROUND(H31*Method!$B$4/1000000,1))</f>
        <v>3</v>
      </c>
      <c r="L31" s="11" t="n">
        <f aca="false">IF(J31="","",ROUND(J31*Method!$B$6*Method!$B$7,1))</f>
        <v>0.5</v>
      </c>
      <c r="M31" s="11" t="n">
        <f aca="false">IF(K31="","",ROUND(K31*Method!$B$6*Method!$B$8,1))</f>
        <v>3.2</v>
      </c>
      <c r="N31" s="7"/>
      <c r="O31" s="10" t="s">
        <v>251</v>
      </c>
      <c r="P31" s="10" t="s">
        <v>252</v>
      </c>
      <c r="Q31" s="7" t="s">
        <v>148</v>
      </c>
      <c r="R31" s="10" t="s">
        <v>253</v>
      </c>
      <c r="S31" s="10"/>
      <c r="T31" s="10" t="s">
        <v>254</v>
      </c>
      <c r="U31" s="7"/>
      <c r="V31" s="10"/>
    </row>
    <row r="32" customFormat="false" ht="55.2" hidden="false" customHeight="false" outlineLevel="0" collapsed="false">
      <c r="A32" s="7" t="s">
        <v>160</v>
      </c>
      <c r="B32" s="7" t="s">
        <v>255</v>
      </c>
      <c r="C32" s="8" t="str">
        <f aca="false">HYPERLINK("https://www.cpcolorado.com","www.cpcolorado.com")</f>
        <v>www.cpcolorado.com</v>
      </c>
      <c r="D32" s="7" t="s">
        <v>256</v>
      </c>
      <c r="E32" s="9" t="n">
        <v>1985</v>
      </c>
      <c r="F32" s="9" t="n">
        <f aca="false">IF(E32="","",Method!$B$2-E32)</f>
        <v>41</v>
      </c>
      <c r="G32" s="9" t="n">
        <v>17</v>
      </c>
      <c r="H32" s="9" t="n">
        <v>30</v>
      </c>
      <c r="I32" s="10" t="s">
        <v>257</v>
      </c>
      <c r="J32" s="11" t="n">
        <f aca="false">IF(G32="","",ROUND(G32*Method!$B$3/1000000,1))</f>
        <v>2.6</v>
      </c>
      <c r="K32" s="11" t="n">
        <f aca="false">IF(H32="","",ROUND(H32*Method!$B$4/1000000,1))</f>
        <v>6</v>
      </c>
      <c r="L32" s="11" t="n">
        <f aca="false">IF(J32="","",ROUND(J32*Method!$B$6*Method!$B$7,1))</f>
        <v>1.6</v>
      </c>
      <c r="M32" s="11" t="n">
        <f aca="false">IF(K32="","",ROUND(K32*Method!$B$6*Method!$B$8,1))</f>
        <v>6.3</v>
      </c>
      <c r="N32" s="7" t="s">
        <v>258</v>
      </c>
      <c r="O32" s="10" t="s">
        <v>259</v>
      </c>
      <c r="P32" s="10" t="s">
        <v>260</v>
      </c>
      <c r="Q32" s="7" t="s">
        <v>125</v>
      </c>
      <c r="R32" s="10" t="s">
        <v>261</v>
      </c>
      <c r="S32" s="10"/>
      <c r="T32" s="10" t="s">
        <v>262</v>
      </c>
      <c r="U32" s="7" t="s">
        <v>263</v>
      </c>
      <c r="V32" s="10" t="s">
        <v>264</v>
      </c>
    </row>
    <row r="33" customFormat="false" ht="41.75" hidden="false" customHeight="false" outlineLevel="0" collapsed="false">
      <c r="A33" s="7" t="s">
        <v>160</v>
      </c>
      <c r="B33" s="7" t="s">
        <v>265</v>
      </c>
      <c r="C33" s="8" t="str">
        <f aca="false">HYPERLINK("https://windwardnetworks.com","windwardnetworks.com")</f>
        <v>windwardnetworks.com</v>
      </c>
      <c r="D33" s="7" t="s">
        <v>266</v>
      </c>
      <c r="E33" s="7"/>
      <c r="F33" s="7"/>
      <c r="G33" s="9" t="n">
        <v>5</v>
      </c>
      <c r="H33" s="9" t="n">
        <v>15</v>
      </c>
      <c r="I33" s="10" t="s">
        <v>131</v>
      </c>
      <c r="J33" s="11" t="n">
        <f aca="false">IF(G33="","",ROUND(G33*Method!$B$3/1000000,1))</f>
        <v>0.8</v>
      </c>
      <c r="K33" s="11" t="n">
        <f aca="false">IF(H33="","",ROUND(H33*Method!$B$4/1000000,1))</f>
        <v>3</v>
      </c>
      <c r="L33" s="11" t="n">
        <f aca="false">IF(J33="","",ROUND(J33*Method!$B$6*Method!$B$7,1))</f>
        <v>0.5</v>
      </c>
      <c r="M33" s="11" t="n">
        <f aca="false">IF(K33="","",ROUND(K33*Method!$B$6*Method!$B$8,1))</f>
        <v>3.2</v>
      </c>
      <c r="N33" s="7"/>
      <c r="O33" s="10" t="s">
        <v>267</v>
      </c>
      <c r="P33" s="10" t="s">
        <v>268</v>
      </c>
      <c r="Q33" s="7" t="s">
        <v>45</v>
      </c>
      <c r="R33" s="10" t="s">
        <v>269</v>
      </c>
      <c r="S33" s="10"/>
      <c r="T33" s="10" t="s">
        <v>270</v>
      </c>
      <c r="U33" s="7"/>
      <c r="V33" s="10"/>
    </row>
    <row r="34" customFormat="false" ht="55.2" hidden="false" customHeight="false" outlineLevel="0" collapsed="false">
      <c r="A34" s="7" t="s">
        <v>271</v>
      </c>
      <c r="B34" s="7" t="s">
        <v>272</v>
      </c>
      <c r="C34" s="8" t="str">
        <f aca="false">HYPERLINK("https://simpinc.com","simpinc.com")</f>
        <v>simpinc.com</v>
      </c>
      <c r="D34" s="7" t="s">
        <v>273</v>
      </c>
      <c r="E34" s="9" t="n">
        <v>1993</v>
      </c>
      <c r="F34" s="9" t="n">
        <f aca="false">IF(E34="","",Method!$B$2-E34)</f>
        <v>33</v>
      </c>
      <c r="G34" s="9" t="n">
        <v>10</v>
      </c>
      <c r="H34" s="9" t="n">
        <v>25</v>
      </c>
      <c r="I34" s="10" t="s">
        <v>274</v>
      </c>
      <c r="J34" s="11" t="n">
        <f aca="false">IF(G34="","",ROUND(G34*Method!$B$3/1000000,1))</f>
        <v>1.5</v>
      </c>
      <c r="K34" s="11" t="n">
        <f aca="false">IF(H34="","",ROUND(H34*Method!$B$4/1000000,1))</f>
        <v>5</v>
      </c>
      <c r="L34" s="11" t="n">
        <f aca="false">IF(J34="","",ROUND(J34*Method!$B$6*Method!$B$7,1))</f>
        <v>0.9</v>
      </c>
      <c r="M34" s="11" t="n">
        <f aca="false">IF(K34="","",ROUND(K34*Method!$B$6*Method!$B$8,1))</f>
        <v>5.3</v>
      </c>
      <c r="N34" s="7"/>
      <c r="O34" s="10" t="s">
        <v>275</v>
      </c>
      <c r="P34" s="10" t="s">
        <v>276</v>
      </c>
      <c r="Q34" s="7" t="s">
        <v>148</v>
      </c>
      <c r="R34" s="10" t="s">
        <v>277</v>
      </c>
      <c r="S34" s="10"/>
      <c r="T34" s="10" t="s">
        <v>278</v>
      </c>
      <c r="U34" s="7"/>
      <c r="V34" s="10" t="s">
        <v>279</v>
      </c>
    </row>
    <row r="35" customFormat="false" ht="28.35" hidden="false" customHeight="false" outlineLevel="0" collapsed="false">
      <c r="A35" s="7" t="s">
        <v>271</v>
      </c>
      <c r="B35" s="7" t="s">
        <v>280</v>
      </c>
      <c r="C35" s="8" t="str">
        <f aca="false">HYPERLINK("https://www.trutechit.com","www.trutechit.com")</f>
        <v>www.trutechit.com</v>
      </c>
      <c r="D35" s="7" t="s">
        <v>281</v>
      </c>
      <c r="E35" s="9" t="n">
        <v>2010</v>
      </c>
      <c r="F35" s="9" t="n">
        <f aca="false">IF(E35="","",Method!$B$2-E35)</f>
        <v>16</v>
      </c>
      <c r="G35" s="9" t="n">
        <v>10</v>
      </c>
      <c r="H35" s="9" t="n">
        <v>20</v>
      </c>
      <c r="I35" s="10" t="s">
        <v>216</v>
      </c>
      <c r="J35" s="11" t="n">
        <f aca="false">IF(G35="","",ROUND(G35*Method!$B$3/1000000,1))</f>
        <v>1.5</v>
      </c>
      <c r="K35" s="11" t="n">
        <f aca="false">IF(H35="","",ROUND(H35*Method!$B$4/1000000,1))</f>
        <v>4</v>
      </c>
      <c r="L35" s="11" t="n">
        <f aca="false">IF(J35="","",ROUND(J35*Method!$B$6*Method!$B$7,1))</f>
        <v>0.9</v>
      </c>
      <c r="M35" s="11" t="n">
        <f aca="false">IF(K35="","",ROUND(K35*Method!$B$6*Method!$B$8,1))</f>
        <v>4.2</v>
      </c>
      <c r="N35" s="7"/>
      <c r="O35" s="10" t="s">
        <v>282</v>
      </c>
      <c r="P35" s="10" t="s">
        <v>283</v>
      </c>
      <c r="Q35" s="7" t="s">
        <v>148</v>
      </c>
      <c r="R35" s="10" t="s">
        <v>225</v>
      </c>
      <c r="S35" s="10"/>
      <c r="T35" s="10" t="s">
        <v>284</v>
      </c>
      <c r="U35" s="7"/>
      <c r="V35" s="10" t="s">
        <v>285</v>
      </c>
    </row>
    <row r="36" customFormat="false" ht="28.35" hidden="false" customHeight="false" outlineLevel="0" collapsed="false">
      <c r="A36" s="7" t="s">
        <v>271</v>
      </c>
      <c r="B36" s="7" t="s">
        <v>286</v>
      </c>
      <c r="C36" s="8" t="str">
        <f aca="false">HYPERLINK("https://steppingforward.tech","steppingforward.tech")</f>
        <v>steppingforward.tech</v>
      </c>
      <c r="D36" s="7" t="s">
        <v>92</v>
      </c>
      <c r="E36" s="9" t="n">
        <v>2006</v>
      </c>
      <c r="F36" s="9" t="n">
        <f aca="false">IF(E36="","",Method!$B$2-E36)</f>
        <v>20</v>
      </c>
      <c r="G36" s="9" t="n">
        <v>10</v>
      </c>
      <c r="H36" s="9" t="n">
        <v>12</v>
      </c>
      <c r="I36" s="10" t="s">
        <v>287</v>
      </c>
      <c r="J36" s="11" t="n">
        <f aca="false">IF(G36="","",ROUND(G36*Method!$B$3/1000000,1))</f>
        <v>1.5</v>
      </c>
      <c r="K36" s="11" t="n">
        <f aca="false">IF(H36="","",ROUND(H36*Method!$B$4/1000000,1))</f>
        <v>2.4</v>
      </c>
      <c r="L36" s="11" t="n">
        <f aca="false">IF(J36="","",ROUND(J36*Method!$B$6*Method!$B$7,1))</f>
        <v>0.9</v>
      </c>
      <c r="M36" s="11" t="n">
        <f aca="false">IF(K36="","",ROUND(K36*Method!$B$6*Method!$B$8,1))</f>
        <v>2.5</v>
      </c>
      <c r="N36" s="7"/>
      <c r="O36" s="10" t="s">
        <v>288</v>
      </c>
      <c r="P36" s="10" t="s">
        <v>289</v>
      </c>
      <c r="Q36" s="7" t="s">
        <v>148</v>
      </c>
      <c r="R36" s="10" t="s">
        <v>225</v>
      </c>
      <c r="S36" s="10"/>
      <c r="T36" s="10" t="s">
        <v>290</v>
      </c>
      <c r="U36" s="7"/>
      <c r="V36" s="10"/>
    </row>
    <row r="37" customFormat="false" ht="41.75" hidden="false" customHeight="false" outlineLevel="0" collapsed="false">
      <c r="A37" s="7" t="s">
        <v>271</v>
      </c>
      <c r="B37" s="7" t="s">
        <v>291</v>
      </c>
      <c r="C37" s="7"/>
      <c r="D37" s="7" t="s">
        <v>292</v>
      </c>
      <c r="E37" s="9" t="n">
        <v>2003</v>
      </c>
      <c r="F37" s="9" t="n">
        <f aca="false">IF(E37="","",Method!$B$2-E37)</f>
        <v>23</v>
      </c>
      <c r="G37" s="9" t="n">
        <v>5</v>
      </c>
      <c r="H37" s="9" t="n">
        <v>15</v>
      </c>
      <c r="I37" s="10" t="s">
        <v>216</v>
      </c>
      <c r="J37" s="11" t="n">
        <f aca="false">IF(G37="","",ROUND(G37*Method!$B$3/1000000,1))</f>
        <v>0.8</v>
      </c>
      <c r="K37" s="11" t="n">
        <f aca="false">IF(H37="","",ROUND(H37*Method!$B$4/1000000,1))</f>
        <v>3</v>
      </c>
      <c r="L37" s="11" t="n">
        <f aca="false">IF(J37="","",ROUND(J37*Method!$B$6*Method!$B$7,1))</f>
        <v>0.5</v>
      </c>
      <c r="M37" s="11" t="n">
        <f aca="false">IF(K37="","",ROUND(K37*Method!$B$6*Method!$B$8,1))</f>
        <v>3.2</v>
      </c>
      <c r="N37" s="7"/>
      <c r="O37" s="10" t="s">
        <v>293</v>
      </c>
      <c r="P37" s="10" t="s">
        <v>283</v>
      </c>
      <c r="Q37" s="7" t="s">
        <v>148</v>
      </c>
      <c r="R37" s="10" t="s">
        <v>294</v>
      </c>
      <c r="S37" s="10"/>
      <c r="T37" s="10" t="s">
        <v>295</v>
      </c>
      <c r="U37" s="7" t="s">
        <v>296</v>
      </c>
      <c r="V37" s="10" t="s">
        <v>297</v>
      </c>
    </row>
    <row r="38" customFormat="false" ht="41.75" hidden="false" customHeight="false" outlineLevel="0" collapsed="false">
      <c r="A38" s="7" t="s">
        <v>271</v>
      </c>
      <c r="B38" s="7" t="s">
        <v>298</v>
      </c>
      <c r="C38" s="8" t="str">
        <f aca="false">HYPERLINK("https://www.trioptech.com","www.trioptech.com")</f>
        <v>www.trioptech.com</v>
      </c>
      <c r="D38" s="7" t="s">
        <v>299</v>
      </c>
      <c r="E38" s="7"/>
      <c r="F38" s="7"/>
      <c r="G38" s="9" t="n">
        <v>3</v>
      </c>
      <c r="H38" s="9" t="n">
        <v>5</v>
      </c>
      <c r="I38" s="10" t="s">
        <v>300</v>
      </c>
      <c r="J38" s="11" t="n">
        <f aca="false">IF(G38="","",ROUND(G38*Method!$B$3/1000000,1))</f>
        <v>0.5</v>
      </c>
      <c r="K38" s="11" t="n">
        <f aca="false">IF(H38="","",ROUND(H38*Method!$B$4/1000000,1))</f>
        <v>1</v>
      </c>
      <c r="L38" s="11" t="n">
        <f aca="false">IF(J38="","",ROUND(J38*Method!$B$6*Method!$B$7,1))</f>
        <v>0.3</v>
      </c>
      <c r="M38" s="11" t="n">
        <f aca="false">IF(K38="","",ROUND(K38*Method!$B$6*Method!$B$8,1))</f>
        <v>1.1</v>
      </c>
      <c r="N38" s="7"/>
      <c r="O38" s="10" t="s">
        <v>283</v>
      </c>
      <c r="P38" s="10" t="s">
        <v>301</v>
      </c>
      <c r="Q38" s="7" t="s">
        <v>148</v>
      </c>
      <c r="R38" s="10" t="s">
        <v>225</v>
      </c>
      <c r="S38" s="10"/>
      <c r="T38" s="10" t="s">
        <v>302</v>
      </c>
      <c r="U38" s="7"/>
      <c r="V38" s="10" t="s">
        <v>303</v>
      </c>
    </row>
    <row r="39" customFormat="false" ht="41.75" hidden="false" customHeight="false" outlineLevel="0" collapsed="false">
      <c r="A39" s="7" t="s">
        <v>271</v>
      </c>
      <c r="B39" s="7" t="s">
        <v>304</v>
      </c>
      <c r="C39" s="8" t="str">
        <f aca="false">HYPERLINK("https://www.koshsolutions.com","www.koshsolutions.com")</f>
        <v>www.koshsolutions.com</v>
      </c>
      <c r="D39" s="7" t="s">
        <v>305</v>
      </c>
      <c r="E39" s="9" t="n">
        <v>2005</v>
      </c>
      <c r="F39" s="9" t="n">
        <f aca="false">IF(E39="","",Method!$B$2-E39)</f>
        <v>21</v>
      </c>
      <c r="G39" s="9" t="n">
        <v>10</v>
      </c>
      <c r="H39" s="9" t="n">
        <v>25</v>
      </c>
      <c r="I39" s="10" t="s">
        <v>306</v>
      </c>
      <c r="J39" s="11" t="n">
        <f aca="false">IF(G39="","",ROUND(G39*Method!$B$3/1000000,1))</f>
        <v>1.5</v>
      </c>
      <c r="K39" s="11" t="n">
        <f aca="false">IF(H39="","",ROUND(H39*Method!$B$4/1000000,1))</f>
        <v>5</v>
      </c>
      <c r="L39" s="11" t="n">
        <f aca="false">IF(J39="","",ROUND(J39*Method!$B$6*Method!$B$7,1))</f>
        <v>0.9</v>
      </c>
      <c r="M39" s="11" t="n">
        <f aca="false">IF(K39="","",ROUND(K39*Method!$B$6*Method!$B$8,1))</f>
        <v>5.3</v>
      </c>
      <c r="N39" s="7"/>
      <c r="O39" s="10" t="s">
        <v>307</v>
      </c>
      <c r="P39" s="10" t="s">
        <v>308</v>
      </c>
      <c r="Q39" s="7" t="s">
        <v>148</v>
      </c>
      <c r="R39" s="10" t="s">
        <v>309</v>
      </c>
      <c r="S39" s="10"/>
      <c r="T39" s="10" t="s">
        <v>310</v>
      </c>
      <c r="U39" s="7"/>
      <c r="V39" s="10" t="s">
        <v>311</v>
      </c>
    </row>
    <row r="40" customFormat="false" ht="55.2" hidden="false" customHeight="false" outlineLevel="0" collapsed="false">
      <c r="A40" s="12" t="s">
        <v>312</v>
      </c>
      <c r="B40" s="12" t="s">
        <v>313</v>
      </c>
      <c r="C40" s="13" t="str">
        <f aca="false">HYPERLINK("https://www.nexustek.com","www.nexustek.com")</f>
        <v>www.nexustek.com</v>
      </c>
      <c r="D40" s="12" t="s">
        <v>314</v>
      </c>
      <c r="E40" s="14" t="n">
        <v>1996</v>
      </c>
      <c r="F40" s="14" t="n">
        <f aca="false">IF(E40="","",Method!$B$2-E40)</f>
        <v>30</v>
      </c>
      <c r="G40" s="14" t="n">
        <v>250</v>
      </c>
      <c r="H40" s="14" t="n">
        <v>750</v>
      </c>
      <c r="I40" s="15" t="s">
        <v>315</v>
      </c>
      <c r="J40" s="16" t="n">
        <f aca="false">IF(G40="","",ROUND(G40*Method!$B$3/1000000,1))</f>
        <v>37.5</v>
      </c>
      <c r="K40" s="16" t="n">
        <f aca="false">IF(H40="","",ROUND(H40*Method!$B$4/1000000,1))</f>
        <v>150</v>
      </c>
      <c r="L40" s="16" t="n">
        <f aca="false">IF(J40="","",ROUND(J40*Method!$B$6*Method!$B$7,1))</f>
        <v>22.5</v>
      </c>
      <c r="M40" s="16" t="n">
        <f aca="false">IF(K40="","",ROUND(K40*Method!$B$6*Method!$B$8,1))</f>
        <v>157.5</v>
      </c>
      <c r="N40" s="12"/>
      <c r="O40" s="15" t="s">
        <v>316</v>
      </c>
      <c r="P40" s="15" t="s">
        <v>317</v>
      </c>
      <c r="Q40" s="12" t="s">
        <v>218</v>
      </c>
      <c r="R40" s="15" t="s">
        <v>318</v>
      </c>
      <c r="S40" s="15"/>
      <c r="T40" s="15" t="s">
        <v>319</v>
      </c>
      <c r="U40" s="12" t="s">
        <v>320</v>
      </c>
      <c r="V40" s="15" t="s">
        <v>321</v>
      </c>
    </row>
    <row r="41" customFormat="false" ht="55.2" hidden="false" customHeight="false" outlineLevel="0" collapsed="false">
      <c r="A41" s="12" t="s">
        <v>312</v>
      </c>
      <c r="B41" s="12" t="s">
        <v>322</v>
      </c>
      <c r="C41" s="13" t="str">
        <f aca="false">HYPERLINK("https://www.greystonetech.com","www.greystonetech.com")</f>
        <v>www.greystonetech.com</v>
      </c>
      <c r="D41" s="12" t="s">
        <v>323</v>
      </c>
      <c r="E41" s="14" t="n">
        <v>2001</v>
      </c>
      <c r="F41" s="14" t="n">
        <f aca="false">IF(E41="","",Method!$B$2-E41)</f>
        <v>25</v>
      </c>
      <c r="G41" s="14" t="n">
        <v>100</v>
      </c>
      <c r="H41" s="14" t="n">
        <v>249</v>
      </c>
      <c r="I41" s="15" t="s">
        <v>324</v>
      </c>
      <c r="J41" s="16" t="n">
        <f aca="false">IF(G41="","",ROUND(G41*Method!$B$3/1000000,1))</f>
        <v>15</v>
      </c>
      <c r="K41" s="16" t="n">
        <f aca="false">IF(H41="","",ROUND(H41*Method!$B$4/1000000,1))</f>
        <v>49.8</v>
      </c>
      <c r="L41" s="16" t="n">
        <f aca="false">IF(J41="","",ROUND(J41*Method!$B$6*Method!$B$7,1))</f>
        <v>9</v>
      </c>
      <c r="M41" s="16" t="n">
        <f aca="false">IF(K41="","",ROUND(K41*Method!$B$6*Method!$B$8,1))</f>
        <v>52.3</v>
      </c>
      <c r="N41" s="12"/>
      <c r="O41" s="15" t="s">
        <v>325</v>
      </c>
      <c r="P41" s="15" t="s">
        <v>326</v>
      </c>
      <c r="Q41" s="12" t="s">
        <v>218</v>
      </c>
      <c r="R41" s="15" t="s">
        <v>327</v>
      </c>
      <c r="S41" s="15"/>
      <c r="T41" s="15" t="s">
        <v>328</v>
      </c>
      <c r="U41" s="12"/>
      <c r="V41" s="15" t="s">
        <v>329</v>
      </c>
    </row>
    <row r="42" customFormat="false" ht="41.75" hidden="false" customHeight="false" outlineLevel="0" collapsed="false">
      <c r="A42" s="12" t="s">
        <v>312</v>
      </c>
      <c r="B42" s="12" t="s">
        <v>330</v>
      </c>
      <c r="C42" s="13" t="str">
        <f aca="false">HYPERLINK("https://harborit.com","harborit.com")</f>
        <v>harborit.com</v>
      </c>
      <c r="D42" s="12" t="s">
        <v>59</v>
      </c>
      <c r="E42" s="14" t="n">
        <v>2006</v>
      </c>
      <c r="F42" s="14" t="n">
        <f aca="false">IF(E42="","",Method!$B$2-E42)</f>
        <v>20</v>
      </c>
      <c r="G42" s="14" t="n">
        <v>375</v>
      </c>
      <c r="H42" s="14" t="n">
        <v>375</v>
      </c>
      <c r="I42" s="15" t="s">
        <v>331</v>
      </c>
      <c r="J42" s="16" t="n">
        <f aca="false">IF(G42="","",ROUND(G42*Method!$B$3/1000000,1))</f>
        <v>56.3</v>
      </c>
      <c r="K42" s="16" t="n">
        <f aca="false">IF(H42="","",ROUND(H42*Method!$B$4/1000000,1))</f>
        <v>75</v>
      </c>
      <c r="L42" s="16" t="n">
        <f aca="false">IF(J42="","",ROUND(J42*Method!$B$6*Method!$B$7,1))</f>
        <v>33.8</v>
      </c>
      <c r="M42" s="16" t="n">
        <f aca="false">IF(K42="","",ROUND(K42*Method!$B$6*Method!$B$8,1))</f>
        <v>78.8</v>
      </c>
      <c r="N42" s="12"/>
      <c r="O42" s="15" t="s">
        <v>332</v>
      </c>
      <c r="P42" s="15" t="s">
        <v>333</v>
      </c>
      <c r="Q42" s="12" t="s">
        <v>218</v>
      </c>
      <c r="R42" s="15" t="s">
        <v>334</v>
      </c>
      <c r="S42" s="15"/>
      <c r="T42" s="15" t="s">
        <v>335</v>
      </c>
      <c r="U42" s="12"/>
      <c r="V42" s="15" t="s">
        <v>336</v>
      </c>
    </row>
    <row r="43" customFormat="false" ht="28.35" hidden="false" customHeight="false" outlineLevel="0" collapsed="false">
      <c r="A43" s="12" t="s">
        <v>312</v>
      </c>
      <c r="B43" s="12" t="s">
        <v>337</v>
      </c>
      <c r="C43" s="13" t="str">
        <f aca="false">HYPERLINK("https://www.sourcepass.com/managed-it-services-denver","www.sourcepass.com/managed-it-services-denver")</f>
        <v>www.sourcepass.com/managed-it-services-denver</v>
      </c>
      <c r="D43" s="12" t="s">
        <v>338</v>
      </c>
      <c r="E43" s="14" t="n">
        <v>2001</v>
      </c>
      <c r="F43" s="14" t="n">
        <f aca="false">IF(E43="","",Method!$B$2-E43)</f>
        <v>25</v>
      </c>
      <c r="G43" s="14" t="n">
        <v>10</v>
      </c>
      <c r="H43" s="14" t="n">
        <v>30</v>
      </c>
      <c r="I43" s="15" t="s">
        <v>339</v>
      </c>
      <c r="J43" s="16" t="n">
        <f aca="false">IF(G43="","",ROUND(G43*Method!$B$3/1000000,1))</f>
        <v>1.5</v>
      </c>
      <c r="K43" s="16" t="n">
        <f aca="false">IF(H43="","",ROUND(H43*Method!$B$4/1000000,1))</f>
        <v>6</v>
      </c>
      <c r="L43" s="16" t="n">
        <f aca="false">IF(J43="","",ROUND(J43*Method!$B$6*Method!$B$7,1))</f>
        <v>0.9</v>
      </c>
      <c r="M43" s="16" t="n">
        <f aca="false">IF(K43="","",ROUND(K43*Method!$B$6*Method!$B$8,1))</f>
        <v>6.3</v>
      </c>
      <c r="N43" s="12"/>
      <c r="O43" s="15" t="s">
        <v>340</v>
      </c>
      <c r="P43" s="15" t="s">
        <v>341</v>
      </c>
      <c r="Q43" s="12" t="s">
        <v>218</v>
      </c>
      <c r="R43" s="15" t="s">
        <v>334</v>
      </c>
      <c r="S43" s="15"/>
      <c r="T43" s="15" t="s">
        <v>342</v>
      </c>
      <c r="U43" s="12"/>
      <c r="V43" s="15"/>
    </row>
    <row r="44" customFormat="false" ht="55.2" hidden="false" customHeight="false" outlineLevel="0" collapsed="false">
      <c r="A44" s="12" t="s">
        <v>312</v>
      </c>
      <c r="B44" s="12" t="s">
        <v>343</v>
      </c>
      <c r="C44" s="13" t="str">
        <f aca="false">HYPERLINK("https://www.verticomm.com","www.verticomm.com")</f>
        <v>www.verticomm.com</v>
      </c>
      <c r="D44" s="12" t="s">
        <v>344</v>
      </c>
      <c r="E44" s="14" t="n">
        <v>1999</v>
      </c>
      <c r="F44" s="14" t="n">
        <f aca="false">IF(E44="","",Method!$B$2-E44)</f>
        <v>27</v>
      </c>
      <c r="G44" s="14" t="n">
        <v>61</v>
      </c>
      <c r="H44" s="14" t="n">
        <v>61</v>
      </c>
      <c r="I44" s="15" t="s">
        <v>345</v>
      </c>
      <c r="J44" s="16" t="n">
        <f aca="false">IF(G44="","",ROUND(G44*Method!$B$3/1000000,1))</f>
        <v>9.2</v>
      </c>
      <c r="K44" s="16" t="n">
        <f aca="false">IF(H44="","",ROUND(H44*Method!$B$4/1000000,1))</f>
        <v>12.2</v>
      </c>
      <c r="L44" s="16" t="n">
        <f aca="false">IF(J44="","",ROUND(J44*Method!$B$6*Method!$B$7,1))</f>
        <v>5.5</v>
      </c>
      <c r="M44" s="16" t="n">
        <f aca="false">IF(K44="","",ROUND(K44*Method!$B$6*Method!$B$8,1))</f>
        <v>12.8</v>
      </c>
      <c r="N44" s="12"/>
      <c r="O44" s="15" t="s">
        <v>346</v>
      </c>
      <c r="P44" s="15" t="s">
        <v>347</v>
      </c>
      <c r="Q44" s="12" t="s">
        <v>218</v>
      </c>
      <c r="R44" s="15" t="s">
        <v>348</v>
      </c>
      <c r="S44" s="15"/>
      <c r="T44" s="15" t="s">
        <v>349</v>
      </c>
      <c r="U44" s="12"/>
      <c r="V44" s="15" t="s">
        <v>350</v>
      </c>
    </row>
    <row r="45" customFormat="false" ht="41.75" hidden="false" customHeight="false" outlineLevel="0" collapsed="false">
      <c r="A45" s="12" t="s">
        <v>312</v>
      </c>
      <c r="B45" s="12" t="s">
        <v>351</v>
      </c>
      <c r="C45" s="13" t="str">
        <f aca="false">HYPERLINK("https://vertilocity.com","vertilocity.com")</f>
        <v>vertilocity.com</v>
      </c>
      <c r="D45" s="12" t="s">
        <v>352</v>
      </c>
      <c r="E45" s="14" t="n">
        <v>2007</v>
      </c>
      <c r="F45" s="14" t="n">
        <f aca="false">IF(E45="","",Method!$B$2-E45)</f>
        <v>19</v>
      </c>
      <c r="G45" s="14" t="n">
        <v>50</v>
      </c>
      <c r="H45" s="14" t="n">
        <v>185</v>
      </c>
      <c r="I45" s="15" t="s">
        <v>353</v>
      </c>
      <c r="J45" s="16" t="n">
        <f aca="false">IF(G45="","",ROUND(G45*Method!$B$3/1000000,1))</f>
        <v>7.5</v>
      </c>
      <c r="K45" s="16" t="n">
        <f aca="false">IF(H45="","",ROUND(H45*Method!$B$4/1000000,1))</f>
        <v>37</v>
      </c>
      <c r="L45" s="16" t="n">
        <f aca="false">IF(J45="","",ROUND(J45*Method!$B$6*Method!$B$7,1))</f>
        <v>4.5</v>
      </c>
      <c r="M45" s="16" t="n">
        <f aca="false">IF(K45="","",ROUND(K45*Method!$B$6*Method!$B$8,1))</f>
        <v>38.9</v>
      </c>
      <c r="N45" s="12"/>
      <c r="O45" s="15" t="s">
        <v>354</v>
      </c>
      <c r="P45" s="15" t="s">
        <v>355</v>
      </c>
      <c r="Q45" s="12" t="s">
        <v>218</v>
      </c>
      <c r="R45" s="15" t="s">
        <v>356</v>
      </c>
      <c r="S45" s="15"/>
      <c r="T45" s="15" t="s">
        <v>357</v>
      </c>
      <c r="U45" s="12"/>
      <c r="V45" s="15" t="s">
        <v>358</v>
      </c>
    </row>
    <row r="46" customFormat="false" ht="41.75" hidden="false" customHeight="false" outlineLevel="0" collapsed="false">
      <c r="A46" s="12" t="s">
        <v>312</v>
      </c>
      <c r="B46" s="12" t="s">
        <v>359</v>
      </c>
      <c r="C46" s="12"/>
      <c r="D46" s="12" t="s">
        <v>59</v>
      </c>
      <c r="E46" s="12"/>
      <c r="F46" s="12"/>
      <c r="G46" s="14" t="n">
        <v>0</v>
      </c>
      <c r="H46" s="14" t="n">
        <v>0</v>
      </c>
      <c r="I46" s="15" t="s">
        <v>360</v>
      </c>
      <c r="J46" s="16" t="n">
        <f aca="false">IF(G46="","",ROUND(G46*Method!$B$3/1000000,1))</f>
        <v>0</v>
      </c>
      <c r="K46" s="16" t="n">
        <f aca="false">IF(H46="","",ROUND(H46*Method!$B$4/1000000,1))</f>
        <v>0</v>
      </c>
      <c r="L46" s="16" t="n">
        <f aca="false">IF(J46="","",ROUND(J46*Method!$B$6*Method!$B$7,1))</f>
        <v>0</v>
      </c>
      <c r="M46" s="16" t="n">
        <f aca="false">IF(K46="","",ROUND(K46*Method!$B$6*Method!$B$8,1))</f>
        <v>0</v>
      </c>
      <c r="N46" s="12"/>
      <c r="O46" s="15" t="s">
        <v>361</v>
      </c>
      <c r="P46" s="15" t="s">
        <v>362</v>
      </c>
      <c r="Q46" s="12" t="s">
        <v>218</v>
      </c>
      <c r="R46" s="15" t="s">
        <v>363</v>
      </c>
      <c r="S46" s="15"/>
      <c r="T46" s="15" t="s">
        <v>364</v>
      </c>
      <c r="U46" s="12"/>
      <c r="V46" s="15" t="s">
        <v>365</v>
      </c>
    </row>
    <row r="47" customFormat="false" ht="55.2" hidden="false" customHeight="false" outlineLevel="0" collapsed="false">
      <c r="A47" s="12" t="s">
        <v>312</v>
      </c>
      <c r="B47" s="12" t="s">
        <v>366</v>
      </c>
      <c r="C47" s="13" t="str">
        <f aca="false">HYPERLINK("https://www.ironedgegroup.com/service-areas/grand-junction/","www.ironedgegroup.com/service-areas/grand-junction")</f>
        <v>www.ironedgegroup.com/service-areas/grand-junction</v>
      </c>
      <c r="D47" s="12" t="s">
        <v>367</v>
      </c>
      <c r="E47" s="14" t="n">
        <v>2003</v>
      </c>
      <c r="F47" s="14" t="n">
        <f aca="false">IF(E47="","",Method!$B$2-E47)</f>
        <v>23</v>
      </c>
      <c r="G47" s="14" t="n">
        <v>10</v>
      </c>
      <c r="H47" s="14" t="n">
        <v>50</v>
      </c>
      <c r="I47" s="15" t="s">
        <v>368</v>
      </c>
      <c r="J47" s="16" t="n">
        <f aca="false">IF(G47="","",ROUND(G47*Method!$B$3/1000000,1))</f>
        <v>1.5</v>
      </c>
      <c r="K47" s="16" t="n">
        <f aca="false">IF(H47="","",ROUND(H47*Method!$B$4/1000000,1))</f>
        <v>10</v>
      </c>
      <c r="L47" s="16" t="n">
        <f aca="false">IF(J47="","",ROUND(J47*Method!$B$6*Method!$B$7,1))</f>
        <v>0.9</v>
      </c>
      <c r="M47" s="16" t="n">
        <f aca="false">IF(K47="","",ROUND(K47*Method!$B$6*Method!$B$8,1))</f>
        <v>10.5</v>
      </c>
      <c r="N47" s="12"/>
      <c r="O47" s="15" t="s">
        <v>369</v>
      </c>
      <c r="P47" s="15" t="s">
        <v>370</v>
      </c>
      <c r="Q47" s="12" t="s">
        <v>218</v>
      </c>
      <c r="R47" s="15" t="s">
        <v>371</v>
      </c>
      <c r="S47" s="15"/>
      <c r="T47" s="15" t="s">
        <v>372</v>
      </c>
      <c r="U47" s="12"/>
      <c r="V47" s="15" t="s">
        <v>373</v>
      </c>
    </row>
    <row r="48" customFormat="false" ht="68.65" hidden="false" customHeight="false" outlineLevel="0" collapsed="false">
      <c r="A48" s="12" t="s">
        <v>312</v>
      </c>
      <c r="B48" s="12" t="s">
        <v>374</v>
      </c>
      <c r="C48" s="13" t="str">
        <f aca="false">HYPERLINK("https://commwestcorp.com","commwestcorp.com")</f>
        <v>commwestcorp.com</v>
      </c>
      <c r="D48" s="12" t="s">
        <v>375</v>
      </c>
      <c r="E48" s="14" t="n">
        <v>2002</v>
      </c>
      <c r="F48" s="14" t="n">
        <f aca="false">IF(E48="","",Method!$B$2-E48)</f>
        <v>24</v>
      </c>
      <c r="G48" s="14" t="n">
        <v>10</v>
      </c>
      <c r="H48" s="14" t="n">
        <v>25</v>
      </c>
      <c r="I48" s="15" t="s">
        <v>376</v>
      </c>
      <c r="J48" s="16" t="n">
        <f aca="false">IF(G48="","",ROUND(G48*Method!$B$3/1000000,1))</f>
        <v>1.5</v>
      </c>
      <c r="K48" s="16" t="n">
        <f aca="false">IF(H48="","",ROUND(H48*Method!$B$4/1000000,1))</f>
        <v>5</v>
      </c>
      <c r="L48" s="16" t="n">
        <f aca="false">IF(J48="","",ROUND(J48*Method!$B$6*Method!$B$7,1))</f>
        <v>0.9</v>
      </c>
      <c r="M48" s="16" t="n">
        <f aca="false">IF(K48="","",ROUND(K48*Method!$B$6*Method!$B$8,1))</f>
        <v>5.3</v>
      </c>
      <c r="N48" s="12"/>
      <c r="O48" s="15" t="s">
        <v>377</v>
      </c>
      <c r="P48" s="15" t="s">
        <v>378</v>
      </c>
      <c r="Q48" s="12" t="s">
        <v>218</v>
      </c>
      <c r="R48" s="15" t="s">
        <v>379</v>
      </c>
      <c r="S48" s="15"/>
      <c r="T48" s="15" t="s">
        <v>380</v>
      </c>
      <c r="U48" s="12"/>
      <c r="V48" s="15" t="s">
        <v>381</v>
      </c>
    </row>
    <row r="49" customFormat="false" ht="82.05" hidden="false" customHeight="false" outlineLevel="0" collapsed="false">
      <c r="A49" s="12" t="s">
        <v>312</v>
      </c>
      <c r="B49" s="12" t="s">
        <v>382</v>
      </c>
      <c r="C49" s="13" t="str">
        <f aca="false">HYPERLINK("https://www.appliedtech.us","www.appliedtech.us")</f>
        <v>www.appliedtech.us</v>
      </c>
      <c r="D49" s="12" t="s">
        <v>383</v>
      </c>
      <c r="E49" s="14" t="n">
        <v>1999</v>
      </c>
      <c r="F49" s="14" t="n">
        <f aca="false">IF(E49="","",Method!$B$2-E49)</f>
        <v>27</v>
      </c>
      <c r="G49" s="14" t="n">
        <v>50</v>
      </c>
      <c r="H49" s="14" t="n">
        <v>99</v>
      </c>
      <c r="I49" s="15" t="s">
        <v>384</v>
      </c>
      <c r="J49" s="16" t="n">
        <f aca="false">IF(G49="","",ROUND(G49*Method!$B$3/1000000,1))</f>
        <v>7.5</v>
      </c>
      <c r="K49" s="16" t="n">
        <f aca="false">IF(H49="","",ROUND(H49*Method!$B$4/1000000,1))</f>
        <v>19.8</v>
      </c>
      <c r="L49" s="16" t="n">
        <f aca="false">IF(J49="","",ROUND(J49*Method!$B$6*Method!$B$7,1))</f>
        <v>4.5</v>
      </c>
      <c r="M49" s="16" t="n">
        <f aca="false">IF(K49="","",ROUND(K49*Method!$B$6*Method!$B$8,1))</f>
        <v>20.8</v>
      </c>
      <c r="N49" s="12"/>
      <c r="O49" s="15" t="s">
        <v>385</v>
      </c>
      <c r="P49" s="15" t="s">
        <v>283</v>
      </c>
      <c r="Q49" s="12" t="s">
        <v>218</v>
      </c>
      <c r="R49" s="15" t="s">
        <v>386</v>
      </c>
      <c r="S49" s="15"/>
      <c r="T49" s="15" t="s">
        <v>387</v>
      </c>
      <c r="U49" s="12" t="s">
        <v>388</v>
      </c>
      <c r="V49" s="15" t="s">
        <v>389</v>
      </c>
    </row>
    <row r="50" customFormat="false" ht="41.75" hidden="false" customHeight="false" outlineLevel="0" collapsed="false">
      <c r="A50" s="12" t="s">
        <v>312</v>
      </c>
      <c r="B50" s="12" t="s">
        <v>390</v>
      </c>
      <c r="C50" s="13" t="str">
        <f aca="false">HYPERLINK("https://pei.com","pei.com")</f>
        <v>pei.com</v>
      </c>
      <c r="D50" s="12" t="s">
        <v>266</v>
      </c>
      <c r="E50" s="14" t="n">
        <v>1988</v>
      </c>
      <c r="F50" s="14" t="n">
        <f aca="false">IF(E50="","",Method!$B$2-E50)</f>
        <v>38</v>
      </c>
      <c r="G50" s="14" t="n">
        <v>20</v>
      </c>
      <c r="H50" s="14" t="n">
        <v>40</v>
      </c>
      <c r="I50" s="15" t="s">
        <v>391</v>
      </c>
      <c r="J50" s="16" t="n">
        <f aca="false">IF(G50="","",ROUND(G50*Method!$B$3/1000000,1))</f>
        <v>3</v>
      </c>
      <c r="K50" s="16" t="n">
        <f aca="false">IF(H50="","",ROUND(H50*Method!$B$4/1000000,1))</f>
        <v>8</v>
      </c>
      <c r="L50" s="16" t="n">
        <f aca="false">IF(J50="","",ROUND(J50*Method!$B$6*Method!$B$7,1))</f>
        <v>1.8</v>
      </c>
      <c r="M50" s="16" t="n">
        <f aca="false">IF(K50="","",ROUND(K50*Method!$B$6*Method!$B$8,1))</f>
        <v>8.4</v>
      </c>
      <c r="N50" s="12"/>
      <c r="O50" s="15" t="s">
        <v>392</v>
      </c>
      <c r="P50" s="15" t="s">
        <v>393</v>
      </c>
      <c r="Q50" s="12" t="s">
        <v>218</v>
      </c>
      <c r="R50" s="15" t="s">
        <v>394</v>
      </c>
      <c r="S50" s="15" t="s">
        <v>395</v>
      </c>
      <c r="T50" s="15" t="s">
        <v>396</v>
      </c>
      <c r="U50" s="12"/>
      <c r="V50" s="15" t="s">
        <v>397</v>
      </c>
    </row>
    <row r="51" customFormat="false" ht="28.35" hidden="false" customHeight="false" outlineLevel="0" collapsed="false">
      <c r="A51" s="12" t="s">
        <v>312</v>
      </c>
      <c r="B51" s="12" t="s">
        <v>398</v>
      </c>
      <c r="C51" s="12"/>
      <c r="D51" s="12" t="s">
        <v>92</v>
      </c>
      <c r="E51" s="14" t="n">
        <v>2001</v>
      </c>
      <c r="F51" s="14" t="n">
        <f aca="false">IF(E51="","",Method!$B$2-E51)</f>
        <v>25</v>
      </c>
      <c r="G51" s="14" t="n">
        <v>10</v>
      </c>
      <c r="H51" s="14" t="n">
        <v>30</v>
      </c>
      <c r="I51" s="15" t="s">
        <v>283</v>
      </c>
      <c r="J51" s="16" t="n">
        <f aca="false">IF(G51="","",ROUND(G51*Method!$B$3/1000000,1))</f>
        <v>1.5</v>
      </c>
      <c r="K51" s="16" t="n">
        <f aca="false">IF(H51="","",ROUND(H51*Method!$B$4/1000000,1))</f>
        <v>6</v>
      </c>
      <c r="L51" s="16" t="n">
        <f aca="false">IF(J51="","",ROUND(J51*Method!$B$6*Method!$B$7,1))</f>
        <v>0.9</v>
      </c>
      <c r="M51" s="16" t="n">
        <f aca="false">IF(K51="","",ROUND(K51*Method!$B$6*Method!$B$8,1))</f>
        <v>6.3</v>
      </c>
      <c r="N51" s="12"/>
      <c r="O51" s="15" t="s">
        <v>399</v>
      </c>
      <c r="P51" s="15" t="s">
        <v>400</v>
      </c>
      <c r="Q51" s="12" t="s">
        <v>218</v>
      </c>
      <c r="R51" s="15" t="s">
        <v>356</v>
      </c>
      <c r="S51" s="15"/>
      <c r="T51" s="15" t="s">
        <v>401</v>
      </c>
      <c r="U51" s="12"/>
      <c r="V51" s="15" t="s">
        <v>402</v>
      </c>
    </row>
    <row r="52" customFormat="false" ht="41.75" hidden="false" customHeight="false" outlineLevel="0" collapsed="false">
      <c r="A52" s="12" t="s">
        <v>312</v>
      </c>
      <c r="B52" s="12" t="s">
        <v>403</v>
      </c>
      <c r="C52" s="13" t="str">
        <f aca="false">HYPERLINK("https://optimumnetworking.com","optimumnetworking.com")</f>
        <v>optimumnetworking.com</v>
      </c>
      <c r="D52" s="12" t="s">
        <v>404</v>
      </c>
      <c r="E52" s="14" t="n">
        <v>1995</v>
      </c>
      <c r="F52" s="14" t="n">
        <f aca="false">IF(E52="","",Method!$B$2-E52)</f>
        <v>31</v>
      </c>
      <c r="G52" s="14" t="n">
        <v>10</v>
      </c>
      <c r="H52" s="14" t="n">
        <v>30</v>
      </c>
      <c r="I52" s="15" t="s">
        <v>283</v>
      </c>
      <c r="J52" s="16" t="n">
        <f aca="false">IF(G52="","",ROUND(G52*Method!$B$3/1000000,1))</f>
        <v>1.5</v>
      </c>
      <c r="K52" s="16" t="n">
        <f aca="false">IF(H52="","",ROUND(H52*Method!$B$4/1000000,1))</f>
        <v>6</v>
      </c>
      <c r="L52" s="16" t="n">
        <f aca="false">IF(J52="","",ROUND(J52*Method!$B$6*Method!$B$7,1))</f>
        <v>0.9</v>
      </c>
      <c r="M52" s="16" t="n">
        <f aca="false">IF(K52="","",ROUND(K52*Method!$B$6*Method!$B$8,1))</f>
        <v>6.3</v>
      </c>
      <c r="N52" s="12"/>
      <c r="O52" s="15" t="s">
        <v>405</v>
      </c>
      <c r="P52" s="15" t="s">
        <v>283</v>
      </c>
      <c r="Q52" s="12" t="s">
        <v>218</v>
      </c>
      <c r="R52" s="15" t="s">
        <v>356</v>
      </c>
      <c r="S52" s="15"/>
      <c r="T52" s="15" t="s">
        <v>406</v>
      </c>
      <c r="U52" s="12" t="s">
        <v>407</v>
      </c>
      <c r="V52" s="15" t="s">
        <v>408</v>
      </c>
    </row>
    <row r="53" customFormat="false" ht="41.75" hidden="false" customHeight="false" outlineLevel="0" collapsed="false">
      <c r="A53" s="17" t="s">
        <v>409</v>
      </c>
      <c r="B53" s="17" t="s">
        <v>410</v>
      </c>
      <c r="C53" s="18" t="str">
        <f aca="false">HYPERLINK("https://www.teamlogicit.com/denverco610","www.teamlogicit.com/denverco610")</f>
        <v>www.teamlogicit.com/denverco610</v>
      </c>
      <c r="D53" s="17" t="s">
        <v>59</v>
      </c>
      <c r="E53" s="17"/>
      <c r="F53" s="17"/>
      <c r="G53" s="19" t="n">
        <v>2</v>
      </c>
      <c r="H53" s="19" t="n">
        <v>9</v>
      </c>
      <c r="I53" s="20" t="s">
        <v>411</v>
      </c>
      <c r="J53" s="21" t="n">
        <f aca="false">IF(G53="","",ROUND(G53*Method!$B$3/1000000,1))</f>
        <v>0.3</v>
      </c>
      <c r="K53" s="21" t="n">
        <f aca="false">IF(H53="","",ROUND(H53*Method!$B$4/1000000,1))</f>
        <v>1.8</v>
      </c>
      <c r="L53" s="21" t="n">
        <f aca="false">IF(J53="","",ROUND(J53*Method!$B$6*Method!$B$7,1))</f>
        <v>0.2</v>
      </c>
      <c r="M53" s="21" t="n">
        <f aca="false">IF(K53="","",ROUND(K53*Method!$B$6*Method!$B$8,1))</f>
        <v>1.9</v>
      </c>
      <c r="N53" s="17"/>
      <c r="O53" s="20" t="s">
        <v>412</v>
      </c>
      <c r="P53" s="20" t="s">
        <v>413</v>
      </c>
      <c r="Q53" s="17" t="s">
        <v>148</v>
      </c>
      <c r="R53" s="20" t="s">
        <v>414</v>
      </c>
      <c r="S53" s="20"/>
      <c r="T53" s="20" t="s">
        <v>415</v>
      </c>
      <c r="U53" s="17"/>
      <c r="V53" s="20" t="s">
        <v>416</v>
      </c>
    </row>
    <row r="54" customFormat="false" ht="28.35" hidden="false" customHeight="false" outlineLevel="0" collapsed="false">
      <c r="A54" s="17" t="s">
        <v>409</v>
      </c>
      <c r="B54" s="17" t="s">
        <v>417</v>
      </c>
      <c r="C54" s="18" t="str">
        <f aca="false">HYPERLINK("https://teamlogicit.com","teamlogicit.com")</f>
        <v>teamlogicit.com</v>
      </c>
      <c r="D54" s="17" t="s">
        <v>92</v>
      </c>
      <c r="E54" s="19" t="n">
        <v>2011</v>
      </c>
      <c r="F54" s="19" t="n">
        <f aca="false">IF(E54="","",Method!$B$2-E54)</f>
        <v>15</v>
      </c>
      <c r="G54" s="19" t="n">
        <v>2</v>
      </c>
      <c r="H54" s="19" t="n">
        <v>9</v>
      </c>
      <c r="I54" s="20" t="s">
        <v>418</v>
      </c>
      <c r="J54" s="21" t="n">
        <f aca="false">IF(G54="","",ROUND(G54*Method!$B$3/1000000,1))</f>
        <v>0.3</v>
      </c>
      <c r="K54" s="21" t="n">
        <f aca="false">IF(H54="","",ROUND(H54*Method!$B$4/1000000,1))</f>
        <v>1.8</v>
      </c>
      <c r="L54" s="21" t="n">
        <f aca="false">IF(J54="","",ROUND(J54*Method!$B$6*Method!$B$7,1))</f>
        <v>0.2</v>
      </c>
      <c r="M54" s="21" t="n">
        <f aca="false">IF(K54="","",ROUND(K54*Method!$B$6*Method!$B$8,1))</f>
        <v>1.9</v>
      </c>
      <c r="N54" s="17"/>
      <c r="O54" s="20" t="s">
        <v>419</v>
      </c>
      <c r="P54" s="20" t="s">
        <v>413</v>
      </c>
      <c r="Q54" s="17" t="s">
        <v>148</v>
      </c>
      <c r="R54" s="20" t="s">
        <v>414</v>
      </c>
      <c r="S54" s="20"/>
      <c r="T54" s="20" t="s">
        <v>420</v>
      </c>
      <c r="U54" s="17"/>
      <c r="V54" s="20" t="s">
        <v>421</v>
      </c>
    </row>
    <row r="55" customFormat="false" ht="15" hidden="false" customHeight="false" outlineLevel="0" collapsed="false">
      <c r="A55" s="7" t="s">
        <v>271</v>
      </c>
      <c r="B55" s="7" t="s">
        <v>422</v>
      </c>
      <c r="C55" s="8" t="str">
        <f aca="false">HYPERLINK("https://coremanaged.com","coremanaged.com")</f>
        <v>coremanaged.com</v>
      </c>
      <c r="D55" s="7" t="s">
        <v>59</v>
      </c>
      <c r="E55" s="7"/>
      <c r="F55" s="7"/>
      <c r="G55" s="7"/>
      <c r="H55" s="7"/>
      <c r="I55" s="10"/>
      <c r="J55" s="7"/>
      <c r="K55" s="7"/>
      <c r="L55" s="7"/>
      <c r="M55" s="7"/>
      <c r="N55" s="7"/>
      <c r="O55" s="10" t="s">
        <v>216</v>
      </c>
      <c r="P55" s="10" t="s">
        <v>206</v>
      </c>
      <c r="Q55" s="7" t="s">
        <v>148</v>
      </c>
      <c r="R55" s="10"/>
      <c r="S55" s="10"/>
      <c r="T55" s="10" t="s">
        <v>423</v>
      </c>
      <c r="U55" s="7"/>
      <c r="V55" s="10"/>
    </row>
    <row r="56" customFormat="false" ht="55.2" hidden="false" customHeight="false" outlineLevel="0" collapsed="false">
      <c r="A56" s="7" t="s">
        <v>271</v>
      </c>
      <c r="B56" s="7" t="s">
        <v>424</v>
      </c>
      <c r="C56" s="8" t="str">
        <f aca="false">HYPERLINK("https://www.coinfotech.com","www.coinfotech.com")</f>
        <v>www.coinfotech.com</v>
      </c>
      <c r="D56" s="7" t="s">
        <v>92</v>
      </c>
      <c r="E56" s="7"/>
      <c r="F56" s="7"/>
      <c r="G56" s="9" t="n">
        <v>2</v>
      </c>
      <c r="H56" s="9" t="n">
        <v>20</v>
      </c>
      <c r="I56" s="10" t="s">
        <v>425</v>
      </c>
      <c r="J56" s="11" t="n">
        <f aca="false">IF(G56="","",ROUND(G56*Method!$B$3/1000000,1))</f>
        <v>0.3</v>
      </c>
      <c r="K56" s="11" t="n">
        <f aca="false">IF(H56="","",ROUND(H56*Method!$B$4/1000000,1))</f>
        <v>4</v>
      </c>
      <c r="L56" s="11" t="n">
        <f aca="false">IF(J56="","",ROUND(J56*Method!$B$6*Method!$B$7,1))</f>
        <v>0.2</v>
      </c>
      <c r="M56" s="11" t="n">
        <f aca="false">IF(K56="","",ROUND(K56*Method!$B$6*Method!$B$8,1))</f>
        <v>4.2</v>
      </c>
      <c r="N56" s="7"/>
      <c r="O56" s="10" t="s">
        <v>206</v>
      </c>
      <c r="P56" s="10" t="s">
        <v>426</v>
      </c>
      <c r="Q56" s="7" t="s">
        <v>28</v>
      </c>
      <c r="R56" s="10" t="s">
        <v>427</v>
      </c>
      <c r="S56" s="10"/>
      <c r="T56" s="10" t="s">
        <v>428</v>
      </c>
      <c r="U56" s="7"/>
      <c r="V56" s="10" t="s">
        <v>429</v>
      </c>
    </row>
  </sheetData>
  <autoFilter ref="A1:V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6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34"/>
    <col collapsed="false" customWidth="true" hidden="false" outlineLevel="0" max="10" min="10" style="0" width="40"/>
    <col collapsed="false" customWidth="true" hidden="false" outlineLevel="0" max="11" min="11" style="0" width="46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430</v>
      </c>
      <c r="B1" s="1" t="s">
        <v>1</v>
      </c>
      <c r="C1" s="1" t="s">
        <v>2</v>
      </c>
      <c r="D1" s="1" t="s">
        <v>431</v>
      </c>
      <c r="E1" s="1" t="s">
        <v>15</v>
      </c>
      <c r="F1" s="1" t="s">
        <v>4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</row>
    <row r="2" customFormat="false" ht="35.05" hidden="false" customHeight="false" outlineLevel="0" collapsed="false">
      <c r="A2" s="22" t="s">
        <v>28</v>
      </c>
      <c r="B2" s="23" t="s">
        <v>438</v>
      </c>
      <c r="C2" s="8" t="str">
        <f aca="false">HYPERLINK("https://arielitservices.com","arielitservices.com")</f>
        <v>arielitservices.com</v>
      </c>
      <c r="D2" s="23" t="s">
        <v>439</v>
      </c>
      <c r="E2" s="24" t="n">
        <v>2010</v>
      </c>
      <c r="F2" s="23" t="s">
        <v>440</v>
      </c>
      <c r="G2" s="23" t="s">
        <v>441</v>
      </c>
      <c r="H2" s="24" t="s">
        <v>442</v>
      </c>
      <c r="I2" s="24" t="s">
        <v>443</v>
      </c>
      <c r="J2" s="24" t="s">
        <v>444</v>
      </c>
      <c r="K2" s="24" t="s">
        <v>445</v>
      </c>
      <c r="L2" s="24"/>
    </row>
    <row r="3" customFormat="false" ht="23.85" hidden="false" customHeight="false" outlineLevel="0" collapsed="false">
      <c r="A3" s="22" t="s">
        <v>28</v>
      </c>
      <c r="B3" s="23" t="s">
        <v>108</v>
      </c>
      <c r="C3" s="8" t="str">
        <f aca="false">HYPERLINK("https://tekmybiz.com","tekmybiz.com")</f>
        <v>tekmybiz.com</v>
      </c>
      <c r="D3" s="23" t="s">
        <v>92</v>
      </c>
      <c r="E3" s="24" t="n">
        <v>1993</v>
      </c>
      <c r="F3" s="23" t="s">
        <v>446</v>
      </c>
      <c r="G3" s="23" t="s">
        <v>447</v>
      </c>
      <c r="H3" s="24" t="s">
        <v>448</v>
      </c>
      <c r="I3" s="24" t="s">
        <v>449</v>
      </c>
      <c r="J3" s="24" t="s">
        <v>450</v>
      </c>
      <c r="K3" s="24" t="s">
        <v>451</v>
      </c>
      <c r="L3" s="24" t="s">
        <v>452</v>
      </c>
    </row>
    <row r="4" customFormat="false" ht="35.05" hidden="false" customHeight="false" outlineLevel="0" collapsed="false">
      <c r="A4" s="22" t="s">
        <v>28</v>
      </c>
      <c r="B4" s="23" t="s">
        <v>265</v>
      </c>
      <c r="C4" s="8" t="str">
        <f aca="false">HYPERLINK("https://windwardnetworks.com","windwardnetworks.com")</f>
        <v>windwardnetworks.com</v>
      </c>
      <c r="D4" s="23" t="s">
        <v>453</v>
      </c>
      <c r="E4" s="24" t="n">
        <v>2004</v>
      </c>
      <c r="F4" s="23" t="s">
        <v>454</v>
      </c>
      <c r="G4" s="23" t="s">
        <v>455</v>
      </c>
      <c r="H4" s="24" t="s">
        <v>456</v>
      </c>
      <c r="I4" s="24" t="s">
        <v>457</v>
      </c>
      <c r="J4" s="24" t="s">
        <v>458</v>
      </c>
      <c r="K4" s="24" t="s">
        <v>459</v>
      </c>
      <c r="L4" s="24"/>
    </row>
    <row r="5" customFormat="false" ht="23.85" hidden="false" customHeight="false" outlineLevel="0" collapsed="false">
      <c r="A5" s="25" t="s">
        <v>460</v>
      </c>
      <c r="B5" s="23" t="s">
        <v>34</v>
      </c>
      <c r="C5" s="8" t="str">
        <f aca="false">HYPERLINK("https://infinetinc.com","infinetinc.com")</f>
        <v>infinetinc.com</v>
      </c>
      <c r="D5" s="23" t="s">
        <v>24</v>
      </c>
      <c r="E5" s="24" t="n">
        <v>1998</v>
      </c>
      <c r="F5" s="23" t="s">
        <v>461</v>
      </c>
      <c r="G5" s="23" t="s">
        <v>462</v>
      </c>
      <c r="H5" s="24" t="s">
        <v>463</v>
      </c>
      <c r="I5" s="24" t="s">
        <v>464</v>
      </c>
      <c r="J5" s="24" t="s">
        <v>465</v>
      </c>
      <c r="K5" s="24" t="s">
        <v>466</v>
      </c>
      <c r="L5" s="24"/>
    </row>
    <row r="6" customFormat="false" ht="35.05" hidden="false" customHeight="false" outlineLevel="0" collapsed="false">
      <c r="A6" s="25" t="s">
        <v>460</v>
      </c>
      <c r="B6" s="23" t="s">
        <v>467</v>
      </c>
      <c r="C6" s="8" t="str">
        <f aca="false">HYPERLINK("https://codebluecomputing.com","codebluecomputing.com")</f>
        <v>codebluecomputing.com</v>
      </c>
      <c r="D6" s="23" t="s">
        <v>468</v>
      </c>
      <c r="E6" s="24" t="n">
        <v>2009</v>
      </c>
      <c r="F6" s="23" t="s">
        <v>469</v>
      </c>
      <c r="G6" s="23" t="s">
        <v>470</v>
      </c>
      <c r="H6" s="24" t="s">
        <v>471</v>
      </c>
      <c r="I6" s="24" t="s">
        <v>472</v>
      </c>
      <c r="J6" s="24" t="s">
        <v>473</v>
      </c>
      <c r="K6" s="24" t="s">
        <v>474</v>
      </c>
      <c r="L6" s="24" t="s">
        <v>475</v>
      </c>
    </row>
    <row r="7" customFormat="false" ht="35.05" hidden="false" customHeight="false" outlineLevel="0" collapsed="false">
      <c r="A7" s="25" t="s">
        <v>460</v>
      </c>
      <c r="B7" s="23" t="s">
        <v>476</v>
      </c>
      <c r="C7" s="8" t="str">
        <f aca="false">HYPERLINK("https://netirio.com","netirio.com")</f>
        <v>netirio.com</v>
      </c>
      <c r="D7" s="23" t="s">
        <v>477</v>
      </c>
      <c r="E7" s="24" t="n">
        <v>2019</v>
      </c>
      <c r="F7" s="23" t="s">
        <v>440</v>
      </c>
      <c r="G7" s="23" t="s">
        <v>478</v>
      </c>
      <c r="H7" s="24" t="s">
        <v>479</v>
      </c>
      <c r="I7" s="24" t="s">
        <v>480</v>
      </c>
      <c r="J7" s="24" t="s">
        <v>481</v>
      </c>
      <c r="K7" s="24" t="s">
        <v>482</v>
      </c>
      <c r="L7" s="24" t="s">
        <v>483</v>
      </c>
    </row>
    <row r="8" customFormat="false" ht="35.05" hidden="false" customHeight="false" outlineLevel="0" collapsed="false">
      <c r="A8" s="25" t="s">
        <v>460</v>
      </c>
      <c r="B8" s="23" t="s">
        <v>424</v>
      </c>
      <c r="C8" s="8" t="str">
        <f aca="false">HYPERLINK("https://www.coinfotech.com","www.coinfotech.com")</f>
        <v>www.coinfotech.com</v>
      </c>
      <c r="D8" s="23" t="s">
        <v>92</v>
      </c>
      <c r="E8" s="24" t="s">
        <v>484</v>
      </c>
      <c r="F8" s="23" t="s">
        <v>485</v>
      </c>
      <c r="G8" s="23" t="s">
        <v>486</v>
      </c>
      <c r="H8" s="24" t="s">
        <v>426</v>
      </c>
      <c r="I8" s="24" t="s">
        <v>487</v>
      </c>
      <c r="J8" s="24" t="s">
        <v>488</v>
      </c>
      <c r="K8" s="24" t="s">
        <v>489</v>
      </c>
      <c r="L8" s="24"/>
    </row>
    <row r="9" customFormat="false" ht="35.05" hidden="false" customHeight="false" outlineLevel="0" collapsed="false">
      <c r="A9" s="26" t="s">
        <v>490</v>
      </c>
      <c r="B9" s="23" t="s">
        <v>491</v>
      </c>
      <c r="C9" s="8" t="str">
        <f aca="false">HYPERLINK("http://firmaitss.com","firmaitss.com")</f>
        <v>firmaitss.com</v>
      </c>
      <c r="D9" s="23" t="s">
        <v>92</v>
      </c>
      <c r="E9" s="24" t="s">
        <v>492</v>
      </c>
      <c r="F9" s="23"/>
      <c r="G9" s="23" t="s">
        <v>493</v>
      </c>
      <c r="H9" s="24" t="s">
        <v>494</v>
      </c>
      <c r="I9" s="24" t="s">
        <v>495</v>
      </c>
      <c r="J9" s="24" t="s">
        <v>496</v>
      </c>
      <c r="K9" s="24" t="s">
        <v>497</v>
      </c>
      <c r="L9" s="24" t="s">
        <v>498</v>
      </c>
    </row>
    <row r="10" customFormat="false" ht="35.05" hidden="false" customHeight="false" outlineLevel="0" collapsed="false">
      <c r="A10" s="26" t="s">
        <v>490</v>
      </c>
      <c r="B10" s="23" t="s">
        <v>499</v>
      </c>
      <c r="C10" s="8" t="str">
        <f aca="false">HYPERLINK("https://www.aspiredenver.com","www.aspiredenver.com")</f>
        <v>www.aspiredenver.com</v>
      </c>
      <c r="D10" s="23" t="s">
        <v>188</v>
      </c>
      <c r="E10" s="24" t="n">
        <v>2000</v>
      </c>
      <c r="F10" s="23" t="s">
        <v>500</v>
      </c>
      <c r="G10" s="23" t="s">
        <v>501</v>
      </c>
      <c r="H10" s="24" t="s">
        <v>502</v>
      </c>
      <c r="I10" s="24" t="s">
        <v>503</v>
      </c>
      <c r="J10" s="24" t="s">
        <v>504</v>
      </c>
      <c r="K10" s="24" t="s">
        <v>505</v>
      </c>
      <c r="L10" s="24"/>
    </row>
    <row r="11" customFormat="false" ht="23.85" hidden="false" customHeight="false" outlineLevel="0" collapsed="false">
      <c r="A11" s="26" t="s">
        <v>490</v>
      </c>
      <c r="B11" s="23" t="s">
        <v>506</v>
      </c>
      <c r="C11" s="8" t="str">
        <f aca="false">HYPERLINK("https://pro-is.com","pro-is.com")</f>
        <v>pro-is.com</v>
      </c>
      <c r="D11" s="23" t="s">
        <v>24</v>
      </c>
      <c r="E11" s="24" t="n">
        <v>1998</v>
      </c>
      <c r="F11" s="23" t="s">
        <v>507</v>
      </c>
      <c r="G11" s="23" t="s">
        <v>508</v>
      </c>
      <c r="H11" s="24" t="s">
        <v>509</v>
      </c>
      <c r="I11" s="24" t="s">
        <v>510</v>
      </c>
      <c r="J11" s="24" t="s">
        <v>511</v>
      </c>
      <c r="K11" s="24" t="s">
        <v>512</v>
      </c>
      <c r="L11" s="24"/>
    </row>
    <row r="12" customFormat="false" ht="35.05" hidden="false" customHeight="false" outlineLevel="0" collapsed="false">
      <c r="A12" s="26" t="s">
        <v>490</v>
      </c>
      <c r="B12" s="23" t="s">
        <v>513</v>
      </c>
      <c r="C12" s="8" t="str">
        <f aca="false">HYPERLINK("https://northwestdata.com","northwestdata.com")</f>
        <v>northwestdata.com</v>
      </c>
      <c r="D12" s="23" t="s">
        <v>153</v>
      </c>
      <c r="E12" s="24" t="n">
        <v>1993</v>
      </c>
      <c r="F12" s="23" t="s">
        <v>500</v>
      </c>
      <c r="G12" s="23" t="s">
        <v>514</v>
      </c>
      <c r="H12" s="24" t="s">
        <v>515</v>
      </c>
      <c r="I12" s="24" t="s">
        <v>516</v>
      </c>
      <c r="J12" s="24" t="s">
        <v>517</v>
      </c>
      <c r="K12" s="24" t="s">
        <v>518</v>
      </c>
      <c r="L12" s="24"/>
    </row>
    <row r="13" customFormat="false" ht="23.85" hidden="false" customHeight="false" outlineLevel="0" collapsed="false">
      <c r="A13" s="26" t="s">
        <v>490</v>
      </c>
      <c r="B13" s="23" t="s">
        <v>519</v>
      </c>
      <c r="C13" s="8" t="str">
        <f aca="false">HYPERLINK("https://www.zentechnologysolutions.com","www.zentechnologysolutions.com")</f>
        <v>www.zentechnologysolutions.com</v>
      </c>
      <c r="D13" s="23" t="s">
        <v>520</v>
      </c>
      <c r="E13" s="24" t="n">
        <v>2018</v>
      </c>
      <c r="F13" s="23" t="s">
        <v>521</v>
      </c>
      <c r="G13" s="23" t="s">
        <v>522</v>
      </c>
      <c r="H13" s="24" t="s">
        <v>523</v>
      </c>
      <c r="I13" s="24" t="s">
        <v>524</v>
      </c>
      <c r="J13" s="24" t="s">
        <v>525</v>
      </c>
      <c r="K13" s="24" t="s">
        <v>526</v>
      </c>
      <c r="L13" s="24"/>
    </row>
    <row r="14" customFormat="false" ht="23.85" hidden="false" customHeight="false" outlineLevel="0" collapsed="false">
      <c r="A14" s="26" t="s">
        <v>490</v>
      </c>
      <c r="B14" s="23" t="s">
        <v>527</v>
      </c>
      <c r="C14" s="8" t="str">
        <f aca="false">HYPERLINK("https://c3direct.net","c3direct.net")</f>
        <v>c3direct.net</v>
      </c>
      <c r="D14" s="23" t="s">
        <v>92</v>
      </c>
      <c r="E14" s="24" t="n">
        <v>2006</v>
      </c>
      <c r="F14" s="23" t="s">
        <v>528</v>
      </c>
      <c r="G14" s="23" t="s">
        <v>529</v>
      </c>
      <c r="H14" s="24" t="s">
        <v>530</v>
      </c>
      <c r="I14" s="24" t="s">
        <v>531</v>
      </c>
      <c r="J14" s="24" t="s">
        <v>532</v>
      </c>
      <c r="K14" s="24" t="s">
        <v>533</v>
      </c>
      <c r="L14" s="24"/>
    </row>
    <row r="15" customFormat="false" ht="23.85" hidden="false" customHeight="false" outlineLevel="0" collapsed="false">
      <c r="A15" s="26" t="s">
        <v>490</v>
      </c>
      <c r="B15" s="23" t="s">
        <v>67</v>
      </c>
      <c r="C15" s="8" t="str">
        <f aca="false">HYPERLINK("https://www.grahamgoldentech.com","www.grahamgoldentech.com")</f>
        <v>www.grahamgoldentech.com</v>
      </c>
      <c r="D15" s="23" t="s">
        <v>59</v>
      </c>
      <c r="E15" s="24" t="n">
        <v>2001</v>
      </c>
      <c r="F15" s="23" t="s">
        <v>534</v>
      </c>
      <c r="G15" s="23" t="s">
        <v>535</v>
      </c>
      <c r="H15" s="24" t="s">
        <v>70</v>
      </c>
      <c r="I15" s="24" t="s">
        <v>536</v>
      </c>
      <c r="J15" s="24" t="s">
        <v>537</v>
      </c>
      <c r="K15" s="24" t="s">
        <v>538</v>
      </c>
      <c r="L15" s="24"/>
    </row>
    <row r="16" customFormat="false" ht="35.05" hidden="false" customHeight="false" outlineLevel="0" collapsed="false">
      <c r="A16" s="26" t="s">
        <v>490</v>
      </c>
      <c r="B16" s="23" t="s">
        <v>539</v>
      </c>
      <c r="C16" s="8" t="str">
        <f aca="false">HYPERLINK("https://wavefinity.net","wavefinity.net")</f>
        <v>wavefinity.net</v>
      </c>
      <c r="D16" s="23" t="s">
        <v>540</v>
      </c>
      <c r="E16" s="24" t="s">
        <v>541</v>
      </c>
      <c r="F16" s="23"/>
      <c r="G16" s="23" t="s">
        <v>542</v>
      </c>
      <c r="H16" s="24" t="s">
        <v>543</v>
      </c>
      <c r="I16" s="24" t="s">
        <v>544</v>
      </c>
      <c r="J16" s="24" t="s">
        <v>545</v>
      </c>
      <c r="K16" s="24" t="s">
        <v>546</v>
      </c>
      <c r="L16" s="24"/>
    </row>
    <row r="17" customFormat="false" ht="23.85" hidden="false" customHeight="false" outlineLevel="0" collapsed="false">
      <c r="A17" s="26" t="s">
        <v>490</v>
      </c>
      <c r="B17" s="23" t="s">
        <v>547</v>
      </c>
      <c r="C17" s="23"/>
      <c r="D17" s="23" t="s">
        <v>548</v>
      </c>
      <c r="E17" s="24" t="s">
        <v>549</v>
      </c>
      <c r="F17" s="27" t="n">
        <v>2001</v>
      </c>
      <c r="G17" s="23" t="s">
        <v>550</v>
      </c>
      <c r="H17" s="24" t="s">
        <v>551</v>
      </c>
      <c r="I17" s="24" t="s">
        <v>552</v>
      </c>
      <c r="J17" s="24" t="s">
        <v>553</v>
      </c>
      <c r="K17" s="24" t="s">
        <v>554</v>
      </c>
      <c r="L17" s="24"/>
    </row>
    <row r="18" customFormat="false" ht="23.85" hidden="false" customHeight="false" outlineLevel="0" collapsed="false">
      <c r="A18" s="26" t="s">
        <v>490</v>
      </c>
      <c r="B18" s="23" t="s">
        <v>555</v>
      </c>
      <c r="C18" s="8" t="str">
        <f aca="false">HYPERLINK("https://www.entechitsolutions.com","www.entechitsolutions.com")</f>
        <v>www.entechitsolutions.com</v>
      </c>
      <c r="D18" s="23" t="s">
        <v>556</v>
      </c>
      <c r="E18" s="24" t="n">
        <v>2010</v>
      </c>
      <c r="F18" s="23" t="s">
        <v>557</v>
      </c>
      <c r="G18" s="23" t="s">
        <v>558</v>
      </c>
      <c r="H18" s="24" t="s">
        <v>559</v>
      </c>
      <c r="I18" s="24" t="s">
        <v>560</v>
      </c>
      <c r="J18" s="24" t="s">
        <v>561</v>
      </c>
      <c r="K18" s="24" t="s">
        <v>562</v>
      </c>
      <c r="L18" s="24" t="s">
        <v>563</v>
      </c>
    </row>
    <row r="19" customFormat="false" ht="23.85" hidden="false" customHeight="false" outlineLevel="0" collapsed="false">
      <c r="A19" s="26" t="s">
        <v>490</v>
      </c>
      <c r="B19" s="23" t="s">
        <v>564</v>
      </c>
      <c r="C19" s="8" t="str">
        <f aca="false">HYPERLINK("https://imperitiv.com","imperitiv.com")</f>
        <v>imperitiv.com</v>
      </c>
      <c r="D19" s="23" t="s">
        <v>565</v>
      </c>
      <c r="E19" s="24" t="n">
        <v>2015</v>
      </c>
      <c r="F19" s="23" t="s">
        <v>557</v>
      </c>
      <c r="G19" s="23" t="s">
        <v>566</v>
      </c>
      <c r="H19" s="24" t="s">
        <v>567</v>
      </c>
      <c r="I19" s="24" t="s">
        <v>568</v>
      </c>
      <c r="J19" s="24" t="s">
        <v>569</v>
      </c>
      <c r="K19" s="24" t="s">
        <v>570</v>
      </c>
      <c r="L19" s="24" t="s">
        <v>571</v>
      </c>
    </row>
    <row r="20" customFormat="false" ht="35.05" hidden="false" customHeight="false" outlineLevel="0" collapsed="false">
      <c r="A20" s="26" t="s">
        <v>490</v>
      </c>
      <c r="B20" s="23" t="s">
        <v>572</v>
      </c>
      <c r="C20" s="8" t="str">
        <f aca="false">HYPERLINK("https://www.pr272managedit.com","www.pr272managedit.com")</f>
        <v>www.pr272managedit.com</v>
      </c>
      <c r="D20" s="23" t="s">
        <v>573</v>
      </c>
      <c r="E20" s="24" t="s">
        <v>574</v>
      </c>
      <c r="F20" s="23" t="s">
        <v>507</v>
      </c>
      <c r="G20" s="23" t="s">
        <v>575</v>
      </c>
      <c r="H20" s="24" t="s">
        <v>576</v>
      </c>
      <c r="I20" s="24" t="s">
        <v>577</v>
      </c>
      <c r="J20" s="24" t="s">
        <v>578</v>
      </c>
      <c r="K20" s="24" t="s">
        <v>579</v>
      </c>
      <c r="L20" s="24"/>
    </row>
    <row r="21" customFormat="false" ht="23.85" hidden="false" customHeight="false" outlineLevel="0" collapsed="false">
      <c r="A21" s="26" t="s">
        <v>490</v>
      </c>
      <c r="B21" s="23" t="s">
        <v>580</v>
      </c>
      <c r="C21" s="8" t="str">
        <f aca="false">HYPERLINK("https://computerservicebreckenridge.com","computerservicebreckenridge.com")</f>
        <v>computerservicebreckenridge.com</v>
      </c>
      <c r="D21" s="23" t="s">
        <v>581</v>
      </c>
      <c r="E21" s="24" t="n">
        <v>2001</v>
      </c>
      <c r="F21" s="23" t="s">
        <v>582</v>
      </c>
      <c r="G21" s="23" t="s">
        <v>583</v>
      </c>
      <c r="H21" s="24" t="s">
        <v>584</v>
      </c>
      <c r="I21" s="24" t="s">
        <v>585</v>
      </c>
      <c r="J21" s="24" t="s">
        <v>586</v>
      </c>
      <c r="K21" s="24" t="s">
        <v>587</v>
      </c>
      <c r="L21" s="24"/>
    </row>
    <row r="22" customFormat="false" ht="35.05" hidden="false" customHeight="false" outlineLevel="0" collapsed="false">
      <c r="A22" s="26" t="s">
        <v>490</v>
      </c>
      <c r="B22" s="23" t="s">
        <v>588</v>
      </c>
      <c r="C22" s="8" t="str">
        <f aca="false">HYPERLINK("https://rfhelpdesk.net","rfhelpdesk.net")</f>
        <v>rfhelpdesk.net</v>
      </c>
      <c r="D22" s="23" t="s">
        <v>589</v>
      </c>
      <c r="E22" s="24" t="s">
        <v>590</v>
      </c>
      <c r="F22" s="23" t="s">
        <v>507</v>
      </c>
      <c r="G22" s="23" t="s">
        <v>591</v>
      </c>
      <c r="H22" s="24" t="s">
        <v>592</v>
      </c>
      <c r="I22" s="24" t="s">
        <v>593</v>
      </c>
      <c r="J22" s="24" t="s">
        <v>594</v>
      </c>
      <c r="K22" s="24" t="s">
        <v>595</v>
      </c>
      <c r="L22" s="24"/>
    </row>
    <row r="23" customFormat="false" ht="23.85" hidden="false" customHeight="false" outlineLevel="0" collapsed="false">
      <c r="A23" s="26" t="s">
        <v>490</v>
      </c>
      <c r="B23" s="23" t="s">
        <v>596</v>
      </c>
      <c r="C23" s="8" t="str">
        <f aca="false">HYPERLINK("https://olive.tech","olive.tech")</f>
        <v>olive.tech</v>
      </c>
      <c r="D23" s="23" t="s">
        <v>597</v>
      </c>
      <c r="E23" s="24" t="n">
        <v>2021</v>
      </c>
      <c r="F23" s="23" t="s">
        <v>598</v>
      </c>
      <c r="G23" s="23" t="s">
        <v>599</v>
      </c>
      <c r="H23" s="24" t="s">
        <v>600</v>
      </c>
      <c r="I23" s="24" t="s">
        <v>601</v>
      </c>
      <c r="J23" s="24" t="s">
        <v>602</v>
      </c>
      <c r="K23" s="24" t="s">
        <v>603</v>
      </c>
      <c r="L23" s="24"/>
    </row>
    <row r="24" customFormat="false" ht="35.05" hidden="false" customHeight="false" outlineLevel="0" collapsed="false">
      <c r="A24" s="28" t="s">
        <v>604</v>
      </c>
      <c r="B24" s="23" t="s">
        <v>298</v>
      </c>
      <c r="C24" s="8" t="str">
        <f aca="false">HYPERLINK("https://www.trioptech.com","www.trioptech.com")</f>
        <v>www.trioptech.com</v>
      </c>
      <c r="D24" s="23" t="s">
        <v>299</v>
      </c>
      <c r="E24" s="24" t="s">
        <v>605</v>
      </c>
      <c r="F24" s="27" t="n">
        <v>2020</v>
      </c>
      <c r="G24" s="23" t="s">
        <v>606</v>
      </c>
      <c r="H24" s="24" t="s">
        <v>607</v>
      </c>
      <c r="I24" s="24" t="s">
        <v>608</v>
      </c>
      <c r="J24" s="24" t="s">
        <v>609</v>
      </c>
      <c r="K24" s="24" t="s">
        <v>610</v>
      </c>
      <c r="L24" s="24"/>
    </row>
    <row r="25" customFormat="false" ht="23.85" hidden="false" customHeight="false" outlineLevel="0" collapsed="false">
      <c r="A25" s="29" t="s">
        <v>125</v>
      </c>
      <c r="B25" s="23" t="s">
        <v>611</v>
      </c>
      <c r="C25" s="8" t="str">
        <f aca="false">HYPERLINK("https://www.ramdyne.com","www.ramdyne.com")</f>
        <v>www.ramdyne.com</v>
      </c>
      <c r="D25" s="23" t="s">
        <v>24</v>
      </c>
      <c r="E25" s="24" t="n">
        <v>2007</v>
      </c>
      <c r="F25" s="23" t="s">
        <v>612</v>
      </c>
      <c r="G25" s="23" t="s">
        <v>613</v>
      </c>
      <c r="H25" s="24" t="s">
        <v>614</v>
      </c>
      <c r="I25" s="24" t="s">
        <v>615</v>
      </c>
      <c r="J25" s="24" t="s">
        <v>616</v>
      </c>
      <c r="K25" s="24" t="s">
        <v>617</v>
      </c>
      <c r="L25" s="24"/>
    </row>
    <row r="26" customFormat="false" ht="23.85" hidden="false" customHeight="false" outlineLevel="0" collapsed="false">
      <c r="A26" s="29" t="s">
        <v>125</v>
      </c>
      <c r="B26" s="23" t="s">
        <v>618</v>
      </c>
      <c r="C26" s="8" t="str">
        <f aca="false">HYPERLINK("https://integtech.net","integtech.net")</f>
        <v>integtech.net</v>
      </c>
      <c r="D26" s="23" t="s">
        <v>24</v>
      </c>
      <c r="E26" s="24" t="n">
        <v>2016</v>
      </c>
      <c r="F26" s="23" t="s">
        <v>507</v>
      </c>
      <c r="G26" s="23" t="s">
        <v>619</v>
      </c>
      <c r="H26" s="24" t="s">
        <v>206</v>
      </c>
      <c r="I26" s="24" t="s">
        <v>620</v>
      </c>
      <c r="J26" s="24" t="s">
        <v>621</v>
      </c>
      <c r="K26" s="24" t="s">
        <v>622</v>
      </c>
      <c r="L26" s="24"/>
    </row>
    <row r="27" customFormat="false" ht="23.85" hidden="false" customHeight="false" outlineLevel="0" collapsed="false">
      <c r="A27" s="29" t="s">
        <v>125</v>
      </c>
      <c r="B27" s="23" t="s">
        <v>623</v>
      </c>
      <c r="C27" s="8" t="str">
        <f aca="false">HYPERLINK("https://mdlconsultinginc.net","mdlconsultinginc.net")</f>
        <v>mdlconsultinginc.net</v>
      </c>
      <c r="D27" s="23" t="s">
        <v>624</v>
      </c>
      <c r="E27" s="24" t="n">
        <v>2001</v>
      </c>
      <c r="F27" s="23" t="s">
        <v>625</v>
      </c>
      <c r="G27" s="23" t="s">
        <v>626</v>
      </c>
      <c r="H27" s="24" t="s">
        <v>627</v>
      </c>
      <c r="I27" s="24" t="s">
        <v>628</v>
      </c>
      <c r="J27" s="24" t="s">
        <v>629</v>
      </c>
      <c r="K27" s="24" t="s">
        <v>630</v>
      </c>
      <c r="L27" s="24"/>
    </row>
    <row r="28" customFormat="false" ht="35.05" hidden="false" customHeight="false" outlineLevel="0" collapsed="false">
      <c r="A28" s="29" t="s">
        <v>125</v>
      </c>
      <c r="B28" s="23" t="s">
        <v>631</v>
      </c>
      <c r="C28" s="8" t="str">
        <f aca="false">HYPERLINK("https://coloradocomputers.net","coloradocomputers.net")</f>
        <v>coloradocomputers.net</v>
      </c>
      <c r="D28" s="23" t="s">
        <v>632</v>
      </c>
      <c r="E28" s="24" t="n">
        <v>1997</v>
      </c>
      <c r="F28" s="23" t="s">
        <v>633</v>
      </c>
      <c r="G28" s="23" t="s">
        <v>634</v>
      </c>
      <c r="H28" s="24" t="s">
        <v>635</v>
      </c>
      <c r="I28" s="24" t="s">
        <v>636</v>
      </c>
      <c r="J28" s="24" t="s">
        <v>637</v>
      </c>
      <c r="K28" s="24" t="s">
        <v>638</v>
      </c>
      <c r="L28" s="24"/>
    </row>
    <row r="29" customFormat="false" ht="23.85" hidden="false" customHeight="false" outlineLevel="0" collapsed="false">
      <c r="A29" s="29" t="s">
        <v>125</v>
      </c>
      <c r="B29" s="23" t="s">
        <v>639</v>
      </c>
      <c r="C29" s="8" t="str">
        <f aca="false">HYPERLINK("https://www.simplytechdenver.com","www.simplytechdenver.com")</f>
        <v>www.simplytechdenver.com</v>
      </c>
      <c r="D29" s="23" t="s">
        <v>640</v>
      </c>
      <c r="E29" s="24" t="n">
        <v>2017</v>
      </c>
      <c r="F29" s="23" t="s">
        <v>641</v>
      </c>
      <c r="G29" s="23" t="s">
        <v>642</v>
      </c>
      <c r="H29" s="24" t="s">
        <v>206</v>
      </c>
      <c r="I29" s="24" t="s">
        <v>643</v>
      </c>
      <c r="J29" s="24" t="s">
        <v>644</v>
      </c>
      <c r="K29" s="24" t="s">
        <v>645</v>
      </c>
      <c r="L29" s="24"/>
    </row>
    <row r="30" customFormat="false" ht="23.85" hidden="false" customHeight="false" outlineLevel="0" collapsed="false">
      <c r="A30" s="29" t="s">
        <v>125</v>
      </c>
      <c r="B30" s="23" t="s">
        <v>646</v>
      </c>
      <c r="C30" s="8" t="str">
        <f aca="false">HYPERLINK("https://mycoloradocomputerguy.com","mycoloradocomputerguy.com")</f>
        <v>mycoloradocomputerguy.com</v>
      </c>
      <c r="D30" s="23" t="s">
        <v>92</v>
      </c>
      <c r="E30" s="24" t="n">
        <v>2010</v>
      </c>
      <c r="F30" s="23" t="s">
        <v>647</v>
      </c>
      <c r="G30" s="23" t="s">
        <v>648</v>
      </c>
      <c r="H30" s="24" t="s">
        <v>649</v>
      </c>
      <c r="I30" s="24" t="s">
        <v>650</v>
      </c>
      <c r="J30" s="24" t="s">
        <v>651</v>
      </c>
      <c r="K30" s="24" t="s">
        <v>652</v>
      </c>
      <c r="L30" s="24"/>
    </row>
    <row r="31" customFormat="false" ht="23.85" hidden="false" customHeight="false" outlineLevel="0" collapsed="false">
      <c r="A31" s="26" t="s">
        <v>490</v>
      </c>
      <c r="B31" s="23" t="s">
        <v>653</v>
      </c>
      <c r="C31" s="8" t="str">
        <f aca="false">HYPERLINK("https://speedwise.net","speedwise.net")</f>
        <v>speedwise.net</v>
      </c>
      <c r="D31" s="23" t="s">
        <v>654</v>
      </c>
      <c r="E31" s="24" t="n">
        <v>2004</v>
      </c>
      <c r="F31" s="23" t="s">
        <v>655</v>
      </c>
      <c r="G31" s="23" t="s">
        <v>656</v>
      </c>
      <c r="H31" s="24" t="s">
        <v>657</v>
      </c>
      <c r="I31" s="24" t="s">
        <v>658</v>
      </c>
      <c r="J31" s="24" t="s">
        <v>659</v>
      </c>
      <c r="K31" s="24" t="s">
        <v>660</v>
      </c>
      <c r="L31" s="24" t="s">
        <v>661</v>
      </c>
    </row>
    <row r="32" customFormat="false" ht="35.05" hidden="false" customHeight="false" outlineLevel="0" collapsed="false">
      <c r="A32" s="26" t="s">
        <v>490</v>
      </c>
      <c r="B32" s="23" t="s">
        <v>662</v>
      </c>
      <c r="C32" s="8" t="str">
        <f aca="false">HYPERLINK("https://thinkwaypoint.com","thinkwaypoint.com")</f>
        <v>thinkwaypoint.com</v>
      </c>
      <c r="D32" s="23" t="s">
        <v>663</v>
      </c>
      <c r="E32" s="24" t="n">
        <v>2011</v>
      </c>
      <c r="F32" s="23" t="s">
        <v>664</v>
      </c>
      <c r="G32" s="23" t="s">
        <v>665</v>
      </c>
      <c r="H32" s="24" t="s">
        <v>666</v>
      </c>
      <c r="I32" s="24" t="s">
        <v>667</v>
      </c>
      <c r="J32" s="24" t="s">
        <v>668</v>
      </c>
      <c r="K32" s="24" t="s">
        <v>669</v>
      </c>
      <c r="L32" s="24" t="s">
        <v>670</v>
      </c>
    </row>
    <row r="33" customFormat="false" ht="35.05" hidden="false" customHeight="false" outlineLevel="0" collapsed="false">
      <c r="A33" s="28" t="s">
        <v>604</v>
      </c>
      <c r="B33" s="23" t="s">
        <v>671</v>
      </c>
      <c r="C33" s="8" t="str">
        <f aca="false">HYPERLINK("https://mynewitguys.com","mynewitguys.com")</f>
        <v>mynewitguys.com</v>
      </c>
      <c r="D33" s="23" t="s">
        <v>672</v>
      </c>
      <c r="E33" s="24" t="n">
        <v>2009</v>
      </c>
      <c r="F33" s="23" t="s">
        <v>673</v>
      </c>
      <c r="G33" s="23" t="s">
        <v>674</v>
      </c>
      <c r="H33" s="24" t="s">
        <v>666</v>
      </c>
      <c r="I33" s="24" t="s">
        <v>675</v>
      </c>
      <c r="J33" s="24" t="s">
        <v>676</v>
      </c>
      <c r="K33" s="24" t="s">
        <v>677</v>
      </c>
      <c r="L33" s="24"/>
    </row>
    <row r="34" customFormat="false" ht="23.85" hidden="false" customHeight="false" outlineLevel="0" collapsed="false">
      <c r="A34" s="28" t="s">
        <v>604</v>
      </c>
      <c r="B34" s="23" t="s">
        <v>678</v>
      </c>
      <c r="C34" s="8" t="str">
        <f aca="false">HYPERLINK("https://workplaceit.net","workplaceit.net")</f>
        <v>workplaceit.net</v>
      </c>
      <c r="D34" s="23" t="s">
        <v>679</v>
      </c>
      <c r="E34" s="24" t="n">
        <v>2016</v>
      </c>
      <c r="F34" s="23" t="s">
        <v>680</v>
      </c>
      <c r="G34" s="23" t="s">
        <v>681</v>
      </c>
      <c r="H34" s="24" t="s">
        <v>682</v>
      </c>
      <c r="I34" s="24" t="s">
        <v>683</v>
      </c>
      <c r="J34" s="24" t="s">
        <v>684</v>
      </c>
      <c r="K34" s="24" t="s">
        <v>685</v>
      </c>
      <c r="L34" s="24" t="s">
        <v>686</v>
      </c>
    </row>
    <row r="36" customFormat="false" ht="15" hidden="false" customHeight="false" outlineLevel="0" collapsed="false">
      <c r="A36" s="30" t="s">
        <v>687</v>
      </c>
    </row>
    <row r="37" customFormat="false" ht="15" hidden="false" customHeight="false" outlineLevel="0" collapsed="false">
      <c r="A37" s="31" t="s">
        <v>688</v>
      </c>
    </row>
    <row r="38" customFormat="false" ht="15" hidden="false" customHeight="false" outlineLevel="0" collapsed="false">
      <c r="A38" s="31" t="s">
        <v>689</v>
      </c>
    </row>
    <row r="39" customFormat="false" ht="15" hidden="false" customHeight="false" outlineLevel="0" collapsed="false">
      <c r="A39" s="32" t="s">
        <v>690</v>
      </c>
    </row>
  </sheetData>
  <autoFilter ref="A1:L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691</v>
      </c>
      <c r="B1" s="1" t="s">
        <v>692</v>
      </c>
      <c r="C1" s="1" t="s">
        <v>2</v>
      </c>
      <c r="D1" s="1" t="s">
        <v>693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</row>
    <row r="2" customFormat="false" ht="46.25" hidden="false" customHeight="false" outlineLevel="0" collapsed="false">
      <c r="A2" s="33" t="s">
        <v>699</v>
      </c>
      <c r="B2" s="33" t="s">
        <v>700</v>
      </c>
      <c r="C2" s="13" t="str">
        <f aca="false">HYPERLINK("https://www.newchartertech.com","www.newchartertech.com")</f>
        <v>www.newchartertech.com</v>
      </c>
      <c r="D2" s="34" t="s">
        <v>701</v>
      </c>
      <c r="E2" s="34" t="s">
        <v>702</v>
      </c>
      <c r="F2" s="34" t="s">
        <v>703</v>
      </c>
      <c r="G2" s="34" t="s">
        <v>704</v>
      </c>
      <c r="H2" s="34" t="s">
        <v>705</v>
      </c>
      <c r="I2" s="34" t="s">
        <v>706</v>
      </c>
    </row>
    <row r="3" customFormat="false" ht="23.85" hidden="false" customHeight="false" outlineLevel="0" collapsed="false">
      <c r="A3" s="33" t="s">
        <v>707</v>
      </c>
      <c r="B3" s="33" t="s">
        <v>708</v>
      </c>
      <c r="C3" s="13" t="str">
        <f aca="false">HYPERLINK("https://www.dataprise.com","www.dataprise.com")</f>
        <v>www.dataprise.com</v>
      </c>
      <c r="D3" s="34" t="s">
        <v>709</v>
      </c>
      <c r="E3" s="34" t="s">
        <v>710</v>
      </c>
      <c r="F3" s="34" t="s">
        <v>711</v>
      </c>
      <c r="G3" s="34" t="s">
        <v>712</v>
      </c>
      <c r="H3" s="34" t="s">
        <v>713</v>
      </c>
      <c r="I3" s="34" t="s">
        <v>714</v>
      </c>
    </row>
    <row r="4" customFormat="false" ht="35.05" hidden="false" customHeight="false" outlineLevel="0" collapsed="false">
      <c r="A4" s="33" t="s">
        <v>715</v>
      </c>
      <c r="B4" s="33" t="s">
        <v>716</v>
      </c>
      <c r="C4" s="13" t="str">
        <f aca="false">HYPERLINK("https://www.ntiva.com","www.ntiva.com")</f>
        <v>www.ntiva.com</v>
      </c>
      <c r="D4" s="34" t="s">
        <v>709</v>
      </c>
      <c r="E4" s="34" t="s">
        <v>717</v>
      </c>
      <c r="F4" s="34" t="s">
        <v>718</v>
      </c>
      <c r="G4" s="34" t="s">
        <v>719</v>
      </c>
      <c r="H4" s="34" t="s">
        <v>720</v>
      </c>
      <c r="I4" s="34" t="s">
        <v>721</v>
      </c>
    </row>
    <row r="5" customFormat="false" ht="23.85" hidden="false" customHeight="false" outlineLevel="0" collapsed="false">
      <c r="A5" s="33" t="s">
        <v>722</v>
      </c>
      <c r="B5" s="33" t="s">
        <v>723</v>
      </c>
      <c r="C5" s="13" t="str">
        <f aca="false">HYPERLINK("https://meriplex.com","meriplex.com")</f>
        <v>meriplex.com</v>
      </c>
      <c r="D5" s="34" t="s">
        <v>709</v>
      </c>
      <c r="E5" s="34" t="s">
        <v>724</v>
      </c>
      <c r="F5" s="34" t="s">
        <v>725</v>
      </c>
      <c r="G5" s="34" t="s">
        <v>726</v>
      </c>
      <c r="H5" s="34" t="s">
        <v>727</v>
      </c>
      <c r="I5" s="34" t="s">
        <v>728</v>
      </c>
    </row>
    <row r="6" customFormat="false" ht="35.05" hidden="false" customHeight="false" outlineLevel="0" collapsed="false">
      <c r="A6" s="33" t="s">
        <v>729</v>
      </c>
      <c r="B6" s="33" t="s">
        <v>730</v>
      </c>
      <c r="C6" s="13" t="str">
        <f aca="false">HYPERLINK("https://www.appliedtech.us","www.appliedtech.us")</f>
        <v>www.appliedtech.us</v>
      </c>
      <c r="D6" s="34" t="s">
        <v>731</v>
      </c>
      <c r="E6" s="34" t="s">
        <v>732</v>
      </c>
      <c r="F6" s="34" t="s">
        <v>733</v>
      </c>
      <c r="G6" s="34" t="s">
        <v>389</v>
      </c>
      <c r="H6" s="34" t="s">
        <v>734</v>
      </c>
      <c r="I6" s="34" t="s">
        <v>735</v>
      </c>
    </row>
    <row r="7" customFormat="false" ht="35.05" hidden="false" customHeight="false" outlineLevel="0" collapsed="false">
      <c r="A7" s="33" t="s">
        <v>313</v>
      </c>
      <c r="B7" s="33" t="s">
        <v>736</v>
      </c>
      <c r="C7" s="13" t="str">
        <f aca="false">HYPERLINK("https://www.nexustek.com","www.nexustek.com")</f>
        <v>www.nexustek.com</v>
      </c>
      <c r="D7" s="34" t="s">
        <v>709</v>
      </c>
      <c r="E7" s="34" t="s">
        <v>737</v>
      </c>
      <c r="F7" s="34" t="s">
        <v>738</v>
      </c>
      <c r="G7" s="34" t="s">
        <v>739</v>
      </c>
      <c r="H7" s="34" t="s">
        <v>740</v>
      </c>
      <c r="I7" s="34" t="s">
        <v>741</v>
      </c>
    </row>
    <row r="8" customFormat="false" ht="23.85" hidden="false" customHeight="false" outlineLevel="0" collapsed="false">
      <c r="A8" s="33" t="s">
        <v>742</v>
      </c>
      <c r="B8" s="33" t="s">
        <v>743</v>
      </c>
      <c r="C8" s="13" t="str">
        <f aca="false">HYPERLINK("https://harborit.com","harborit.com")</f>
        <v>harborit.com</v>
      </c>
      <c r="D8" s="34" t="s">
        <v>744</v>
      </c>
      <c r="E8" s="34" t="s">
        <v>745</v>
      </c>
      <c r="F8" s="34" t="s">
        <v>746</v>
      </c>
      <c r="G8" s="34" t="s">
        <v>747</v>
      </c>
      <c r="H8" s="34" t="s">
        <v>748</v>
      </c>
      <c r="I8" s="34" t="s">
        <v>749</v>
      </c>
    </row>
    <row r="9" customFormat="false" ht="23.85" hidden="false" customHeight="false" outlineLevel="0" collapsed="false">
      <c r="A9" s="33" t="s">
        <v>750</v>
      </c>
      <c r="B9" s="33" t="s">
        <v>751</v>
      </c>
      <c r="C9" s="13" t="str">
        <f aca="false">HYPERLINK("https://www.sourcepass.com","www.sourcepass.com")</f>
        <v>www.sourcepass.com</v>
      </c>
      <c r="D9" s="34" t="s">
        <v>752</v>
      </c>
      <c r="E9" s="34" t="s">
        <v>753</v>
      </c>
      <c r="F9" s="34" t="s">
        <v>754</v>
      </c>
      <c r="G9" s="34" t="s">
        <v>755</v>
      </c>
      <c r="H9" s="34" t="s">
        <v>756</v>
      </c>
      <c r="I9" s="34" t="s">
        <v>728</v>
      </c>
    </row>
    <row r="10" customFormat="false" ht="35.05" hidden="false" customHeight="false" outlineLevel="0" collapsed="false">
      <c r="A10" s="33" t="s">
        <v>757</v>
      </c>
      <c r="B10" s="33" t="s">
        <v>758</v>
      </c>
      <c r="C10" s="13" t="str">
        <f aca="false">HYPERLINK("https://integrisit.com","integrisit.com")</f>
        <v>integrisit.com</v>
      </c>
      <c r="D10" s="34" t="s">
        <v>709</v>
      </c>
      <c r="E10" s="34" t="s">
        <v>759</v>
      </c>
      <c r="F10" s="34" t="s">
        <v>760</v>
      </c>
      <c r="G10" s="34" t="s">
        <v>761</v>
      </c>
      <c r="H10" s="34" t="s">
        <v>762</v>
      </c>
      <c r="I10" s="34" t="s">
        <v>728</v>
      </c>
    </row>
    <row r="11" customFormat="false" ht="23.85" hidden="false" customHeight="false" outlineLevel="0" collapsed="false">
      <c r="A11" s="33" t="s">
        <v>763</v>
      </c>
      <c r="B11" s="33" t="s">
        <v>723</v>
      </c>
      <c r="C11" s="13" t="str">
        <f aca="false">HYPERLINK("https://www.ironedgegroup.com","www.ironedgegroup.com")</f>
        <v>www.ironedgegroup.com</v>
      </c>
      <c r="D11" s="34" t="s">
        <v>709</v>
      </c>
      <c r="E11" s="34" t="s">
        <v>764</v>
      </c>
      <c r="F11" s="34" t="s">
        <v>765</v>
      </c>
      <c r="G11" s="34" t="s">
        <v>373</v>
      </c>
      <c r="H11" s="34" t="s">
        <v>766</v>
      </c>
      <c r="I11" s="34" t="s">
        <v>728</v>
      </c>
    </row>
    <row r="12" customFormat="false" ht="35.05" hidden="false" customHeight="false" outlineLevel="0" collapsed="false">
      <c r="A12" s="33" t="s">
        <v>767</v>
      </c>
      <c r="B12" s="33" t="s">
        <v>768</v>
      </c>
      <c r="C12" s="13" t="str">
        <f aca="false">HYPERLINK("https://vertilocity.com","vertilocity.com")</f>
        <v>vertilocity.com</v>
      </c>
      <c r="D12" s="34" t="s">
        <v>769</v>
      </c>
      <c r="E12" s="34" t="s">
        <v>770</v>
      </c>
      <c r="F12" s="34" t="s">
        <v>771</v>
      </c>
      <c r="G12" s="34" t="s">
        <v>772</v>
      </c>
      <c r="H12" s="34" t="s">
        <v>773</v>
      </c>
      <c r="I12" s="34" t="s">
        <v>774</v>
      </c>
    </row>
    <row r="13" customFormat="false" ht="23.85" hidden="false" customHeight="false" outlineLevel="0" collapsed="false">
      <c r="A13" s="33" t="s">
        <v>775</v>
      </c>
      <c r="B13" s="33" t="s">
        <v>776</v>
      </c>
      <c r="C13" s="13" t="str">
        <f aca="false">HYPERLINK("https://trace3.com","trace3.com")</f>
        <v>trace3.com</v>
      </c>
      <c r="D13" s="34" t="s">
        <v>777</v>
      </c>
      <c r="E13" s="34" t="s">
        <v>778</v>
      </c>
      <c r="F13" s="34" t="s">
        <v>779</v>
      </c>
      <c r="G13" s="34" t="s">
        <v>780</v>
      </c>
      <c r="H13" s="34" t="s">
        <v>781</v>
      </c>
      <c r="I13" s="34" t="s">
        <v>782</v>
      </c>
    </row>
    <row r="14" customFormat="false" ht="35.05" hidden="false" customHeight="false" outlineLevel="0" collapsed="false">
      <c r="A14" s="33" t="s">
        <v>783</v>
      </c>
      <c r="B14" s="33" t="s">
        <v>784</v>
      </c>
      <c r="C14" s="13" t="str">
        <f aca="false">HYPERLINK("","")</f>
        <v/>
      </c>
      <c r="D14" s="34" t="s">
        <v>785</v>
      </c>
      <c r="E14" s="34" t="s">
        <v>786</v>
      </c>
      <c r="F14" s="34" t="s">
        <v>787</v>
      </c>
      <c r="G14" s="34" t="s">
        <v>788</v>
      </c>
      <c r="H14" s="34" t="s">
        <v>789</v>
      </c>
      <c r="I14" s="34" t="s">
        <v>790</v>
      </c>
    </row>
    <row r="15" customFormat="false" ht="35.05" hidden="false" customHeight="false" outlineLevel="0" collapsed="false">
      <c r="A15" s="33" t="s">
        <v>791</v>
      </c>
      <c r="B15" s="33" t="s">
        <v>792</v>
      </c>
      <c r="C15" s="13" t="str">
        <f aca="false">HYPERLINK("https://networksunlimited.com","networksunlimited.com")</f>
        <v>networksunlimited.com</v>
      </c>
      <c r="D15" s="34" t="s">
        <v>793</v>
      </c>
      <c r="E15" s="34" t="s">
        <v>794</v>
      </c>
      <c r="F15" s="34" t="s">
        <v>795</v>
      </c>
      <c r="G15" s="34" t="s">
        <v>796</v>
      </c>
      <c r="H15" s="34" t="s">
        <v>797</v>
      </c>
      <c r="I15" s="34" t="s">
        <v>798</v>
      </c>
    </row>
    <row r="16" customFormat="false" ht="35.05" hidden="false" customHeight="false" outlineLevel="0" collapsed="false">
      <c r="A16" s="33" t="s">
        <v>799</v>
      </c>
      <c r="B16" s="33" t="s">
        <v>800</v>
      </c>
      <c r="C16" s="13" t="str">
        <f aca="false">HYPERLINK("https://www.evergreensg.com","www.evergreensg.com")</f>
        <v>www.evergreensg.com</v>
      </c>
      <c r="D16" s="34" t="s">
        <v>801</v>
      </c>
      <c r="E16" s="34" t="s">
        <v>802</v>
      </c>
      <c r="F16" s="34" t="s">
        <v>803</v>
      </c>
      <c r="G16" s="34" t="s">
        <v>804</v>
      </c>
      <c r="H16" s="34" t="s">
        <v>805</v>
      </c>
      <c r="I16" s="34" t="s">
        <v>806</v>
      </c>
    </row>
    <row r="17" customFormat="false" ht="23.85" hidden="false" customHeight="false" outlineLevel="0" collapsed="false">
      <c r="A17" s="33" t="s">
        <v>807</v>
      </c>
      <c r="B17" s="33" t="s">
        <v>808</v>
      </c>
      <c r="C17" s="13" t="str">
        <f aca="false">HYPERLINK("https://www.the20msp.com","www.the20msp.com")</f>
        <v>www.the20msp.com</v>
      </c>
      <c r="D17" s="34" t="s">
        <v>809</v>
      </c>
      <c r="E17" s="34" t="s">
        <v>810</v>
      </c>
      <c r="F17" s="34" t="s">
        <v>811</v>
      </c>
      <c r="G17" s="34" t="s">
        <v>812</v>
      </c>
      <c r="H17" s="34" t="s">
        <v>813</v>
      </c>
      <c r="I17" s="34" t="s">
        <v>814</v>
      </c>
    </row>
    <row r="18" customFormat="false" ht="23.85" hidden="false" customHeight="false" outlineLevel="0" collapsed="false">
      <c r="A18" s="23" t="s">
        <v>815</v>
      </c>
      <c r="B18" s="23" t="s">
        <v>816</v>
      </c>
      <c r="C18" s="8" t="str">
        <f aca="false">HYPERLINK("https://thrivenextgen.com","thrivenextgen.com")</f>
        <v>thrivenextgen.com</v>
      </c>
      <c r="D18" s="24" t="s">
        <v>709</v>
      </c>
      <c r="E18" s="24" t="s">
        <v>817</v>
      </c>
      <c r="F18" s="24" t="s">
        <v>818</v>
      </c>
      <c r="G18" s="24" t="s">
        <v>819</v>
      </c>
      <c r="H18" s="24" t="s">
        <v>820</v>
      </c>
      <c r="I18" s="24" t="s">
        <v>821</v>
      </c>
    </row>
    <row r="19" customFormat="false" ht="23.85" hidden="false" customHeight="false" outlineLevel="0" collapsed="false">
      <c r="A19" s="23" t="s">
        <v>822</v>
      </c>
      <c r="B19" s="23" t="s">
        <v>823</v>
      </c>
      <c r="C19" s="8" t="str">
        <f aca="false">HYPERLINK("https://corsicatech.com","corsicatech.com")</f>
        <v>corsicatech.com</v>
      </c>
      <c r="D19" s="24" t="s">
        <v>824</v>
      </c>
      <c r="E19" s="24" t="s">
        <v>825</v>
      </c>
      <c r="F19" s="24" t="s">
        <v>826</v>
      </c>
      <c r="G19" s="24" t="s">
        <v>827</v>
      </c>
      <c r="H19" s="24" t="s">
        <v>828</v>
      </c>
      <c r="I19" s="24" t="s">
        <v>821</v>
      </c>
    </row>
    <row r="20" customFormat="false" ht="35.05" hidden="false" customHeight="false" outlineLevel="0" collapsed="false">
      <c r="A20" s="33" t="s">
        <v>829</v>
      </c>
      <c r="B20" s="33" t="s">
        <v>830</v>
      </c>
      <c r="C20" s="13" t="str">
        <f aca="false">HYPERLINK("","")</f>
        <v/>
      </c>
      <c r="D20" s="34" t="s">
        <v>831</v>
      </c>
      <c r="E20" s="34" t="s">
        <v>832</v>
      </c>
      <c r="F20" s="34" t="s">
        <v>833</v>
      </c>
      <c r="G20" s="34" t="s">
        <v>834</v>
      </c>
      <c r="H20" s="34" t="s">
        <v>835</v>
      </c>
      <c r="I20" s="34" t="s">
        <v>836</v>
      </c>
    </row>
    <row r="22" customFormat="false" ht="15" hidden="false" customHeight="false" outlineLevel="0" collapsed="false">
      <c r="A22" s="35" t="s">
        <v>837</v>
      </c>
    </row>
    <row r="23" customFormat="false" ht="15" hidden="false" customHeight="false" outlineLevel="0" collapsed="false">
      <c r="A23" s="36" t="s">
        <v>838</v>
      </c>
    </row>
    <row r="24" customFormat="false" ht="15" hidden="false" customHeight="false" outlineLevel="0" collapsed="false">
      <c r="A24" s="36" t="s">
        <v>839</v>
      </c>
    </row>
    <row r="25" customFormat="false" ht="15" hidden="false" customHeight="false" outlineLevel="0" collapsed="false">
      <c r="A25" s="36" t="s">
        <v>840</v>
      </c>
    </row>
    <row r="26" customFormat="false" ht="15" hidden="false" customHeight="false" outlineLevel="0" collapsed="false">
      <c r="A26" s="36" t="s">
        <v>841</v>
      </c>
    </row>
    <row r="27" customFormat="false" ht="15" hidden="false" customHeight="false" outlineLevel="0" collapsed="false">
      <c r="A27" s="36"/>
    </row>
    <row r="28" customFormat="false" ht="15" hidden="false" customHeight="false" outlineLevel="0" collapsed="false">
      <c r="A28" s="35" t="s">
        <v>842</v>
      </c>
    </row>
  </sheetData>
  <autoFilter ref="A1:I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37" t="s">
        <v>843</v>
      </c>
      <c r="B1" s="37" t="s">
        <v>692</v>
      </c>
      <c r="C1" s="37" t="s">
        <v>4</v>
      </c>
      <c r="D1" s="37" t="s">
        <v>844</v>
      </c>
      <c r="E1" s="37" t="s">
        <v>845</v>
      </c>
      <c r="F1" s="37" t="s">
        <v>846</v>
      </c>
      <c r="G1" s="37" t="s">
        <v>847</v>
      </c>
      <c r="H1" s="37" t="s">
        <v>848</v>
      </c>
    </row>
    <row r="2" customFormat="false" ht="35.05" hidden="false" customHeight="false" outlineLevel="0" collapsed="false">
      <c r="A2" s="24" t="s">
        <v>374</v>
      </c>
      <c r="B2" s="24" t="s">
        <v>375</v>
      </c>
      <c r="C2" s="38" t="n">
        <v>2002</v>
      </c>
      <c r="D2" s="24" t="s">
        <v>849</v>
      </c>
      <c r="E2" s="24" t="s">
        <v>850</v>
      </c>
      <c r="F2" s="24" t="s">
        <v>851</v>
      </c>
      <c r="G2" s="24" t="s">
        <v>852</v>
      </c>
      <c r="H2" s="24" t="s">
        <v>853</v>
      </c>
    </row>
    <row r="3" customFormat="false" ht="35.05" hidden="false" customHeight="false" outlineLevel="0" collapsed="false">
      <c r="A3" s="24" t="s">
        <v>854</v>
      </c>
      <c r="B3" s="24" t="s">
        <v>59</v>
      </c>
      <c r="C3" s="38" t="n">
        <v>2006</v>
      </c>
      <c r="D3" s="24" t="s">
        <v>855</v>
      </c>
      <c r="E3" s="24" t="s">
        <v>856</v>
      </c>
      <c r="F3" s="24" t="s">
        <v>857</v>
      </c>
      <c r="G3" s="24" t="s">
        <v>858</v>
      </c>
      <c r="H3" s="24" t="s">
        <v>859</v>
      </c>
    </row>
    <row r="4" customFormat="false" ht="23.85" hidden="false" customHeight="false" outlineLevel="0" collapsed="false">
      <c r="A4" s="24" t="s">
        <v>390</v>
      </c>
      <c r="B4" s="24" t="s">
        <v>266</v>
      </c>
      <c r="C4" s="38" t="n">
        <v>1988</v>
      </c>
      <c r="D4" s="24" t="s">
        <v>860</v>
      </c>
      <c r="E4" s="24" t="s">
        <v>861</v>
      </c>
      <c r="F4" s="24" t="s">
        <v>862</v>
      </c>
      <c r="G4" s="24" t="s">
        <v>863</v>
      </c>
      <c r="H4" s="24" t="s">
        <v>864</v>
      </c>
    </row>
    <row r="5" customFormat="false" ht="23.85" hidden="false" customHeight="false" outlineLevel="0" collapsed="false">
      <c r="A5" s="24" t="s">
        <v>398</v>
      </c>
      <c r="B5" s="24" t="s">
        <v>92</v>
      </c>
      <c r="C5" s="38" t="n">
        <v>2001</v>
      </c>
      <c r="D5" s="24" t="s">
        <v>283</v>
      </c>
      <c r="E5" s="24" t="s">
        <v>865</v>
      </c>
      <c r="F5" s="24" t="s">
        <v>709</v>
      </c>
      <c r="G5" s="24" t="s">
        <v>866</v>
      </c>
      <c r="H5" s="24" t="s">
        <v>867</v>
      </c>
    </row>
    <row r="6" customFormat="false" ht="23.85" hidden="false" customHeight="false" outlineLevel="0" collapsed="false">
      <c r="A6" s="24" t="s">
        <v>403</v>
      </c>
      <c r="B6" s="24" t="s">
        <v>404</v>
      </c>
      <c r="C6" s="38" t="n">
        <v>1995</v>
      </c>
      <c r="D6" s="24" t="s">
        <v>283</v>
      </c>
      <c r="E6" s="24" t="s">
        <v>868</v>
      </c>
      <c r="F6" s="24" t="s">
        <v>709</v>
      </c>
      <c r="G6" s="24" t="s">
        <v>869</v>
      </c>
      <c r="H6" s="24" t="s">
        <v>408</v>
      </c>
    </row>
    <row r="7" customFormat="false" ht="35.05" hidden="false" customHeight="false" outlineLevel="0" collapsed="false">
      <c r="A7" s="24" t="s">
        <v>870</v>
      </c>
      <c r="B7" s="24" t="s">
        <v>871</v>
      </c>
      <c r="C7" s="38" t="n">
        <v>1990</v>
      </c>
      <c r="D7" s="24" t="s">
        <v>872</v>
      </c>
      <c r="E7" s="24" t="s">
        <v>873</v>
      </c>
      <c r="F7" s="24" t="s">
        <v>874</v>
      </c>
      <c r="G7" s="24" t="s">
        <v>875</v>
      </c>
      <c r="H7" s="24" t="s">
        <v>876</v>
      </c>
    </row>
    <row r="8" customFormat="false" ht="15" hidden="false" customHeight="false" outlineLevel="0" collapsed="false">
      <c r="A8" s="24" t="s">
        <v>877</v>
      </c>
      <c r="B8" s="24" t="s">
        <v>338</v>
      </c>
      <c r="C8" s="38" t="n">
        <v>2001</v>
      </c>
      <c r="D8" s="24" t="s">
        <v>283</v>
      </c>
      <c r="E8" s="24" t="s">
        <v>750</v>
      </c>
      <c r="F8" s="24" t="s">
        <v>878</v>
      </c>
      <c r="G8" s="24" t="s">
        <v>879</v>
      </c>
      <c r="H8" s="24" t="s">
        <v>880</v>
      </c>
    </row>
    <row r="9" customFormat="false" ht="46.25" hidden="false" customHeight="false" outlineLevel="0" collapsed="false">
      <c r="A9" s="24" t="s">
        <v>881</v>
      </c>
      <c r="B9" s="24" t="s">
        <v>375</v>
      </c>
      <c r="C9" s="38" t="n">
        <v>2003</v>
      </c>
      <c r="D9" s="24" t="s">
        <v>882</v>
      </c>
      <c r="E9" s="24" t="s">
        <v>883</v>
      </c>
      <c r="F9" s="24" t="s">
        <v>884</v>
      </c>
      <c r="G9" s="24" t="s">
        <v>885</v>
      </c>
      <c r="H9" s="24" t="s">
        <v>886</v>
      </c>
    </row>
    <row r="10" customFormat="false" ht="23.85" hidden="false" customHeight="false" outlineLevel="0" collapsed="false">
      <c r="A10" s="24" t="s">
        <v>887</v>
      </c>
      <c r="B10" s="24" t="s">
        <v>59</v>
      </c>
      <c r="C10" s="24"/>
      <c r="D10" s="24" t="s">
        <v>888</v>
      </c>
      <c r="E10" s="24" t="s">
        <v>889</v>
      </c>
      <c r="F10" s="24" t="s">
        <v>890</v>
      </c>
      <c r="G10" s="24" t="s">
        <v>891</v>
      </c>
      <c r="H10" s="24" t="s">
        <v>892</v>
      </c>
    </row>
    <row r="11" customFormat="false" ht="23.85" hidden="false" customHeight="false" outlineLevel="0" collapsed="false">
      <c r="A11" s="24" t="s">
        <v>351</v>
      </c>
      <c r="B11" s="24" t="s">
        <v>893</v>
      </c>
      <c r="C11" s="38" t="n">
        <v>2007</v>
      </c>
      <c r="D11" s="24" t="s">
        <v>894</v>
      </c>
      <c r="E11" s="24" t="s">
        <v>895</v>
      </c>
      <c r="F11" s="24" t="s">
        <v>896</v>
      </c>
      <c r="G11" s="24" t="s">
        <v>897</v>
      </c>
      <c r="H11" s="24" t="s">
        <v>898</v>
      </c>
    </row>
    <row r="12" customFormat="false" ht="23.85" hidden="false" customHeight="false" outlineLevel="0" collapsed="false">
      <c r="A12" s="24" t="s">
        <v>322</v>
      </c>
      <c r="B12" s="24" t="s">
        <v>899</v>
      </c>
      <c r="C12" s="38" t="n">
        <v>2001</v>
      </c>
      <c r="D12" s="24" t="s">
        <v>900</v>
      </c>
      <c r="E12" s="24" t="s">
        <v>901</v>
      </c>
      <c r="F12" s="24" t="s">
        <v>902</v>
      </c>
      <c r="G12" s="24" t="s">
        <v>903</v>
      </c>
      <c r="H12" s="24" t="s">
        <v>904</v>
      </c>
    </row>
    <row r="13" customFormat="false" ht="15" hidden="false" customHeight="false" outlineLevel="0" collapsed="false">
      <c r="A13" s="24" t="s">
        <v>905</v>
      </c>
      <c r="B13" s="24" t="s">
        <v>59</v>
      </c>
      <c r="C13" s="38" t="n">
        <v>2001</v>
      </c>
      <c r="D13" s="24"/>
      <c r="E13" s="24" t="s">
        <v>906</v>
      </c>
      <c r="F13" s="24" t="s">
        <v>907</v>
      </c>
      <c r="G13" s="24" t="s">
        <v>908</v>
      </c>
      <c r="H13" s="24" t="s">
        <v>909</v>
      </c>
    </row>
    <row r="14" customFormat="false" ht="23.85" hidden="false" customHeight="false" outlineLevel="0" collapsed="false">
      <c r="A14" s="24" t="s">
        <v>313</v>
      </c>
      <c r="B14" s="24" t="s">
        <v>314</v>
      </c>
      <c r="C14" s="38" t="n">
        <v>1996</v>
      </c>
      <c r="D14" s="24" t="s">
        <v>910</v>
      </c>
      <c r="E14" s="24" t="s">
        <v>911</v>
      </c>
      <c r="F14" s="24" t="s">
        <v>709</v>
      </c>
      <c r="G14" s="24" t="s">
        <v>912</v>
      </c>
      <c r="H14" s="24" t="s">
        <v>913</v>
      </c>
    </row>
    <row r="15" customFormat="false" ht="23.85" hidden="false" customHeight="false" outlineLevel="0" collapsed="false">
      <c r="A15" s="24" t="s">
        <v>343</v>
      </c>
      <c r="B15" s="24" t="s">
        <v>914</v>
      </c>
      <c r="C15" s="38" t="n">
        <v>1999</v>
      </c>
      <c r="D15" s="24" t="s">
        <v>915</v>
      </c>
      <c r="E15" s="24" t="s">
        <v>783</v>
      </c>
      <c r="F15" s="24" t="s">
        <v>916</v>
      </c>
      <c r="G15" s="24" t="s">
        <v>917</v>
      </c>
      <c r="H15" s="24" t="s">
        <v>918</v>
      </c>
    </row>
    <row r="16" customFormat="false" ht="35.05" hidden="false" customHeight="false" outlineLevel="0" collapsed="false">
      <c r="A16" s="24" t="s">
        <v>919</v>
      </c>
      <c r="B16" s="24" t="s">
        <v>920</v>
      </c>
      <c r="C16" s="38" t="n">
        <v>1990</v>
      </c>
      <c r="D16" s="24" t="s">
        <v>921</v>
      </c>
      <c r="E16" s="24" t="s">
        <v>922</v>
      </c>
      <c r="F16" s="24" t="s">
        <v>923</v>
      </c>
      <c r="G16" s="24" t="s">
        <v>924</v>
      </c>
      <c r="H16" s="24" t="s">
        <v>925</v>
      </c>
    </row>
    <row r="17" customFormat="false" ht="15" hidden="false" customHeight="false" outlineLevel="0" collapsed="false">
      <c r="A17" s="24" t="s">
        <v>926</v>
      </c>
      <c r="B17" s="24" t="s">
        <v>59</v>
      </c>
      <c r="C17" s="24"/>
      <c r="D17" s="24" t="s">
        <v>283</v>
      </c>
      <c r="E17" s="24" t="s">
        <v>927</v>
      </c>
      <c r="F17" s="24" t="s">
        <v>928</v>
      </c>
      <c r="G17" s="24" t="s">
        <v>929</v>
      </c>
      <c r="H17" s="24" t="s">
        <v>930</v>
      </c>
    </row>
    <row r="18" customFormat="false" ht="46.25" hidden="false" customHeight="false" outlineLevel="0" collapsed="false">
      <c r="A18" s="24" t="s">
        <v>931</v>
      </c>
      <c r="B18" s="24" t="s">
        <v>932</v>
      </c>
      <c r="C18" s="38" t="n">
        <v>2003</v>
      </c>
      <c r="D18" s="24" t="s">
        <v>933</v>
      </c>
      <c r="E18" s="24" t="s">
        <v>934</v>
      </c>
      <c r="F18" s="24" t="s">
        <v>935</v>
      </c>
      <c r="G18" s="24" t="s">
        <v>936</v>
      </c>
      <c r="H18" s="24" t="s">
        <v>937</v>
      </c>
    </row>
    <row r="20" customFormat="false" ht="15" hidden="false" customHeight="false" outlineLevel="0" collapsed="false">
      <c r="A20" s="30" t="s">
        <v>938</v>
      </c>
    </row>
    <row r="21" customFormat="false" ht="15" hidden="false" customHeight="false" outlineLevel="0" collapsed="false">
      <c r="A21" s="31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30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7" t="s">
        <v>1</v>
      </c>
      <c r="B1" s="37" t="s">
        <v>940</v>
      </c>
      <c r="C1" s="37" t="s">
        <v>941</v>
      </c>
    </row>
    <row r="2" customFormat="false" ht="15" hidden="false" customHeight="false" outlineLevel="0" collapsed="false">
      <c r="A2" s="24" t="s">
        <v>942</v>
      </c>
      <c r="B2" s="24" t="s">
        <v>943</v>
      </c>
      <c r="C2" s="24" t="s">
        <v>944</v>
      </c>
    </row>
    <row r="3" customFormat="false" ht="23.85" hidden="false" customHeight="false" outlineLevel="0" collapsed="false">
      <c r="A3" s="24" t="s">
        <v>945</v>
      </c>
      <c r="B3" s="24" t="s">
        <v>946</v>
      </c>
      <c r="C3" s="24" t="s">
        <v>947</v>
      </c>
    </row>
    <row r="4" customFormat="false" ht="23.85" hidden="false" customHeight="false" outlineLevel="0" collapsed="false">
      <c r="A4" s="24" t="s">
        <v>948</v>
      </c>
      <c r="B4" s="24" t="s">
        <v>949</v>
      </c>
      <c r="C4" s="24" t="s">
        <v>950</v>
      </c>
    </row>
    <row r="5" customFormat="false" ht="23.85" hidden="false" customHeight="false" outlineLevel="0" collapsed="false">
      <c r="A5" s="24" t="s">
        <v>215</v>
      </c>
      <c r="B5" s="24" t="s">
        <v>92</v>
      </c>
      <c r="C5" s="24" t="s">
        <v>951</v>
      </c>
    </row>
    <row r="6" customFormat="false" ht="23.85" hidden="false" customHeight="false" outlineLevel="0" collapsed="false">
      <c r="A6" s="24" t="s">
        <v>952</v>
      </c>
      <c r="B6" s="24" t="s">
        <v>92</v>
      </c>
      <c r="C6" s="24" t="s">
        <v>953</v>
      </c>
    </row>
    <row r="7" customFormat="false" ht="15" hidden="false" customHeight="false" outlineLevel="0" collapsed="false">
      <c r="A7" s="24" t="s">
        <v>954</v>
      </c>
      <c r="B7" s="24" t="s">
        <v>955</v>
      </c>
      <c r="C7" s="24" t="s">
        <v>956</v>
      </c>
    </row>
    <row r="8" customFormat="false" ht="15" hidden="false" customHeight="false" outlineLevel="0" collapsed="false">
      <c r="A8" s="24" t="s">
        <v>957</v>
      </c>
      <c r="B8" s="24" t="s">
        <v>92</v>
      </c>
      <c r="C8" s="24" t="s">
        <v>958</v>
      </c>
    </row>
    <row r="9" customFormat="false" ht="23.85" hidden="false" customHeight="false" outlineLevel="0" collapsed="false">
      <c r="A9" s="24" t="s">
        <v>959</v>
      </c>
      <c r="B9" s="24" t="s">
        <v>960</v>
      </c>
      <c r="C9" s="24" t="s">
        <v>961</v>
      </c>
    </row>
    <row r="10" customFormat="false" ht="23.85" hidden="false" customHeight="false" outlineLevel="0" collapsed="false">
      <c r="A10" s="24" t="s">
        <v>962</v>
      </c>
      <c r="B10" s="24" t="s">
        <v>963</v>
      </c>
      <c r="C10" s="24" t="s">
        <v>964</v>
      </c>
    </row>
    <row r="11" customFormat="false" ht="23.85" hidden="false" customHeight="false" outlineLevel="0" collapsed="false">
      <c r="A11" s="24" t="s">
        <v>965</v>
      </c>
      <c r="B11" s="24" t="s">
        <v>966</v>
      </c>
      <c r="C11" s="24" t="s">
        <v>967</v>
      </c>
    </row>
    <row r="12" customFormat="false" ht="15" hidden="false" customHeight="false" outlineLevel="0" collapsed="false">
      <c r="A12" s="24" t="s">
        <v>968</v>
      </c>
      <c r="B12" s="24" t="s">
        <v>92</v>
      </c>
      <c r="C12" s="24" t="s">
        <v>969</v>
      </c>
    </row>
    <row r="13" customFormat="false" ht="23.85" hidden="false" customHeight="false" outlineLevel="0" collapsed="false">
      <c r="A13" s="24" t="s">
        <v>970</v>
      </c>
      <c r="B13" s="24" t="s">
        <v>971</v>
      </c>
      <c r="C13" s="24" t="s">
        <v>972</v>
      </c>
    </row>
    <row r="14" customFormat="false" ht="23.85" hidden="false" customHeight="false" outlineLevel="0" collapsed="false">
      <c r="A14" s="24" t="s">
        <v>304</v>
      </c>
      <c r="B14" s="24" t="s">
        <v>973</v>
      </c>
      <c r="C14" s="24" t="s">
        <v>974</v>
      </c>
    </row>
    <row r="15" customFormat="false" ht="35.05" hidden="false" customHeight="false" outlineLevel="0" collapsed="false">
      <c r="A15" s="24" t="s">
        <v>975</v>
      </c>
      <c r="B15" s="24" t="s">
        <v>976</v>
      </c>
      <c r="C15" s="24" t="s">
        <v>977</v>
      </c>
    </row>
    <row r="16" customFormat="false" ht="23.85" hidden="false" customHeight="false" outlineLevel="0" collapsed="false">
      <c r="A16" s="24" t="s">
        <v>978</v>
      </c>
      <c r="B16" s="24" t="s">
        <v>979</v>
      </c>
      <c r="C16" s="24" t="s">
        <v>980</v>
      </c>
    </row>
    <row r="17" customFormat="false" ht="15" hidden="false" customHeight="false" outlineLevel="0" collapsed="false">
      <c r="A17" s="24" t="s">
        <v>981</v>
      </c>
      <c r="B17" s="24" t="s">
        <v>982</v>
      </c>
      <c r="C17" s="24" t="s">
        <v>983</v>
      </c>
    </row>
    <row r="18" customFormat="false" ht="15" hidden="false" customHeight="false" outlineLevel="0" collapsed="false">
      <c r="A18" s="24" t="s">
        <v>984</v>
      </c>
      <c r="B18" s="24" t="s">
        <v>985</v>
      </c>
      <c r="C18" s="24" t="s">
        <v>986</v>
      </c>
    </row>
    <row r="19" customFormat="false" ht="23.85" hidden="false" customHeight="false" outlineLevel="0" collapsed="false">
      <c r="A19" s="24" t="s">
        <v>987</v>
      </c>
      <c r="B19" s="24" t="s">
        <v>988</v>
      </c>
      <c r="C19" s="24" t="s">
        <v>989</v>
      </c>
    </row>
    <row r="20" customFormat="false" ht="23.85" hidden="false" customHeight="false" outlineLevel="0" collapsed="false">
      <c r="A20" s="24" t="s">
        <v>990</v>
      </c>
      <c r="B20" s="24" t="s">
        <v>991</v>
      </c>
      <c r="C20" s="24" t="s">
        <v>992</v>
      </c>
    </row>
    <row r="21" customFormat="false" ht="23.85" hidden="false" customHeight="false" outlineLevel="0" collapsed="false">
      <c r="A21" s="24" t="s">
        <v>993</v>
      </c>
      <c r="B21" s="24" t="s">
        <v>994</v>
      </c>
      <c r="C21" s="24" t="s">
        <v>995</v>
      </c>
    </row>
    <row r="22" customFormat="false" ht="35.05" hidden="false" customHeight="false" outlineLevel="0" collapsed="false">
      <c r="A22" s="24" t="s">
        <v>996</v>
      </c>
      <c r="B22" s="24" t="s">
        <v>997</v>
      </c>
      <c r="C22" s="24" t="s">
        <v>998</v>
      </c>
    </row>
    <row r="23" customFormat="false" ht="23.85" hidden="false" customHeight="false" outlineLevel="0" collapsed="false">
      <c r="A23" s="24" t="s">
        <v>999</v>
      </c>
      <c r="B23" s="24" t="s">
        <v>1000</v>
      </c>
      <c r="C23" s="24" t="s">
        <v>1001</v>
      </c>
    </row>
    <row r="24" customFormat="false" ht="23.85" hidden="false" customHeight="false" outlineLevel="0" collapsed="false">
      <c r="A24" s="24" t="s">
        <v>1002</v>
      </c>
      <c r="B24" s="24" t="s">
        <v>1003</v>
      </c>
      <c r="C24" s="24" t="s">
        <v>1004</v>
      </c>
    </row>
    <row r="25" customFormat="false" ht="23.85" hidden="false" customHeight="false" outlineLevel="0" collapsed="false">
      <c r="A25" s="24" t="s">
        <v>1005</v>
      </c>
      <c r="B25" s="24" t="s">
        <v>1006</v>
      </c>
      <c r="C25" s="24" t="s">
        <v>1007</v>
      </c>
    </row>
    <row r="26" customFormat="false" ht="15" hidden="false" customHeight="false" outlineLevel="0" collapsed="false">
      <c r="A26" s="24" t="s">
        <v>1008</v>
      </c>
      <c r="B26" s="24" t="s">
        <v>932</v>
      </c>
      <c r="C26" s="24" t="s">
        <v>1009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9" t="s">
        <v>1010</v>
      </c>
    </row>
    <row r="2" customFormat="false" ht="15" hidden="false" customHeight="false" outlineLevel="0" collapsed="false">
      <c r="A2" s="40" t="s">
        <v>1011</v>
      </c>
      <c r="B2" s="41" t="n">
        <v>2026</v>
      </c>
    </row>
    <row r="3" customFormat="false" ht="15" hidden="false" customHeight="false" outlineLevel="0" collapsed="false">
      <c r="A3" s="40" t="s">
        <v>1012</v>
      </c>
      <c r="B3" s="42" t="n">
        <v>150000</v>
      </c>
    </row>
    <row r="4" customFormat="false" ht="15" hidden="false" customHeight="false" outlineLevel="0" collapsed="false">
      <c r="A4" s="40" t="s">
        <v>1013</v>
      </c>
      <c r="B4" s="42" t="n">
        <v>200000</v>
      </c>
    </row>
    <row r="5" customFormat="false" ht="15" hidden="false" customHeight="false" outlineLevel="0" collapsed="false">
      <c r="A5" s="40" t="s">
        <v>1014</v>
      </c>
    </row>
    <row r="6" customFormat="false" ht="15" hidden="false" customHeight="false" outlineLevel="0" collapsed="false">
      <c r="A6" s="40" t="s">
        <v>1015</v>
      </c>
      <c r="B6" s="43" t="n">
        <v>0.15</v>
      </c>
    </row>
    <row r="7" customFormat="false" ht="15" hidden="false" customHeight="false" outlineLevel="0" collapsed="false">
      <c r="A7" s="40" t="s">
        <v>1016</v>
      </c>
      <c r="B7" s="44" t="n">
        <v>4</v>
      </c>
    </row>
    <row r="8" customFormat="false" ht="15" hidden="false" customHeight="false" outlineLevel="0" collapsed="false">
      <c r="A8" s="40" t="s">
        <v>1017</v>
      </c>
      <c r="B8" s="44" t="n">
        <v>7</v>
      </c>
    </row>
    <row r="9" customFormat="false" ht="35.05" hidden="false" customHeight="false" outlineLevel="0" collapsed="false">
      <c r="A9" s="40" t="s">
        <v>1018</v>
      </c>
    </row>
    <row r="11" customFormat="false" ht="15" hidden="false" customHeight="false" outlineLevel="0" collapsed="false">
      <c r="A11" s="40"/>
    </row>
    <row r="12" customFormat="false" ht="15" hidden="false" customHeight="false" outlineLevel="0" collapsed="false">
      <c r="A12" s="39" t="s">
        <v>1019</v>
      </c>
    </row>
    <row r="13" customFormat="false" ht="23.85" hidden="false" customHeight="false" outlineLevel="0" collapsed="false">
      <c r="A13" s="40" t="s">
        <v>1020</v>
      </c>
    </row>
    <row r="14" customFormat="false" ht="23.85" hidden="false" customHeight="false" outlineLevel="0" collapsed="false">
      <c r="A14" s="40" t="s">
        <v>1021</v>
      </c>
    </row>
    <row r="15" customFormat="false" ht="23.85" hidden="false" customHeight="false" outlineLevel="0" collapsed="false">
      <c r="A15" s="40" t="s">
        <v>1022</v>
      </c>
    </row>
    <row r="16" customFormat="false" ht="23.85" hidden="false" customHeight="false" outlineLevel="0" collapsed="false">
      <c r="A16" s="40" t="s">
        <v>1023</v>
      </c>
    </row>
    <row r="17" customFormat="false" ht="23.85" hidden="false" customHeight="false" outlineLevel="0" collapsed="false">
      <c r="A17" s="40" t="s">
        <v>1024</v>
      </c>
    </row>
    <row r="18" customFormat="false" ht="15" hidden="false" customHeight="false" outlineLevel="0" collapsed="false">
      <c r="A18" s="40"/>
    </row>
    <row r="19" customFormat="false" ht="15" hidden="false" customHeight="false" outlineLevel="0" collapsed="false">
      <c r="A19" s="39" t="s">
        <v>1025</v>
      </c>
    </row>
    <row r="20" customFormat="false" ht="23.85" hidden="false" customHeight="false" outlineLevel="0" collapsed="false">
      <c r="A20" s="40" t="s">
        <v>1026</v>
      </c>
    </row>
    <row r="21" customFormat="false" ht="23.85" hidden="false" customHeight="false" outlineLevel="0" collapsed="false">
      <c r="A21" s="40" t="s">
        <v>1027</v>
      </c>
    </row>
    <row r="22" customFormat="false" ht="35.05" hidden="false" customHeight="false" outlineLevel="0" collapsed="false">
      <c r="A22" s="40" t="s">
        <v>1028</v>
      </c>
    </row>
    <row r="23" customFormat="false" ht="23.85" hidden="false" customHeight="false" outlineLevel="0" collapsed="false">
      <c r="A23" s="40" t="s">
        <v>1029</v>
      </c>
    </row>
    <row r="24" customFormat="false" ht="23.85" hidden="false" customHeight="false" outlineLevel="0" collapsed="false">
      <c r="A24" s="40" t="s">
        <v>1030</v>
      </c>
    </row>
    <row r="25" customFormat="false" ht="35.05" hidden="false" customHeight="false" outlineLevel="0" collapsed="false">
      <c r="A25" s="40" t="s">
        <v>1031</v>
      </c>
    </row>
    <row r="26" customFormat="false" ht="23.85" hidden="false" customHeight="false" outlineLevel="0" collapsed="false">
      <c r="A26" s="40" t="s">
        <v>1032</v>
      </c>
    </row>
    <row r="27" customFormat="false" ht="15" hidden="false" customHeight="false" outlineLevel="0" collapsed="false">
      <c r="A27" s="40"/>
    </row>
    <row r="28" customFormat="false" ht="15" hidden="false" customHeight="false" outlineLevel="0" collapsed="false">
      <c r="A28" s="39" t="s">
        <v>1033</v>
      </c>
    </row>
    <row r="29" customFormat="false" ht="23.85" hidden="false" customHeight="false" outlineLevel="0" collapsed="false">
      <c r="A29" s="40" t="s">
        <v>1034</v>
      </c>
    </row>
    <row r="30" customFormat="false" ht="23.85" hidden="false" customHeight="false" outlineLevel="0" collapsed="false">
      <c r="A30" s="40" t="s">
        <v>1035</v>
      </c>
    </row>
    <row r="31" customFormat="false" ht="23.85" hidden="false" customHeight="false" outlineLevel="0" collapsed="false">
      <c r="A31" s="40" t="s">
        <v>1036</v>
      </c>
    </row>
    <row r="32" customFormat="false" ht="15" hidden="false" customHeight="false" outlineLevel="0" collapsed="false">
      <c r="A32" s="40" t="s">
        <v>1037</v>
      </c>
    </row>
    <row r="33" customFormat="false" ht="15" hidden="false" customHeight="false" outlineLevel="0" collapsed="false">
      <c r="A33" s="40" t="s">
        <v>1038</v>
      </c>
    </row>
    <row r="34" customFormat="false" ht="23.85" hidden="false" customHeight="false" outlineLevel="0" collapsed="false">
      <c r="A34" s="40" t="s">
        <v>1039</v>
      </c>
    </row>
    <row r="35" customFormat="false" ht="15" hidden="false" customHeight="false" outlineLevel="0" collapsed="false">
      <c r="A35" s="40"/>
    </row>
    <row r="36" customFormat="false" ht="15" hidden="false" customHeight="false" outlineLevel="0" collapsed="false">
      <c r="A36" s="39" t="s">
        <v>1040</v>
      </c>
    </row>
    <row r="37" customFormat="false" ht="35.05" hidden="false" customHeight="false" outlineLevel="0" collapsed="false">
      <c r="A37" s="40" t="s">
        <v>1041</v>
      </c>
    </row>
    <row r="38" customFormat="false" ht="23.85" hidden="false" customHeight="false" outlineLevel="0" collapsed="false">
      <c r="A38" s="40" t="s">
        <v>1042</v>
      </c>
    </row>
    <row r="39" customFormat="false" ht="23.85" hidden="false" customHeight="false" outlineLevel="0" collapsed="false">
      <c r="A39" s="40" t="s">
        <v>1043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2026-08-19T18:29:09Z</dcterms:created>
  <dc:creator>openpyxl</dc:creator>
  <dc:description/>
  <dc:language>en-US</dc:language>
  <cp:lastModifiedBy/>
  <dcterms:modified xsi:type="dcterms:W3CDTF">2026-08-19T18:29:09Z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