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rget List" sheetId="1" state="visible" r:id="rId3"/>
    <sheet name="Small Shops (Roll-up)" sheetId="2" state="visible" r:id="rId4"/>
    <sheet name="Acquirers" sheetId="3" state="visible" r:id="rId5"/>
    <sheet name="Precedent Deals" sheetId="4" state="visible" r:id="rId6"/>
    <sheet name="Excluded &amp; Out of Market" sheetId="5" state="visible" r:id="rId7"/>
    <sheet name="Method" sheetId="6" state="visible" r:id="rId8"/>
  </sheets>
  <definedNames>
    <definedName function="false" hidden="true" localSheetId="2" name="_xlnm._FilterDatabase" vbProcedure="false">Acquirers!$A$1:$I$24</definedName>
    <definedName function="false" hidden="true" localSheetId="1" name="_xlnm._FilterDatabase" vbProcedure="false">'Small Shops (Roll-up)'!$A$1:$L$26</definedName>
    <definedName function="false" hidden="true" localSheetId="0" name="_xlnm._FilterDatabase" vbProcedure="false">'Target List'!$A$1:$V$58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<sst xmlns="http://schemas.openxmlformats.org/spreadsheetml/2006/main" count="1268" uniqueCount="953">
  <si>
    <t xml:space="preserve">Tier</t>
  </si>
  <si>
    <t xml:space="preserve">Company</t>
  </si>
  <si>
    <t xml:space="preserve">Website</t>
  </si>
  <si>
    <t xml:space="preserve">HQ / Location</t>
  </si>
  <si>
    <t xml:space="preserve">Founded</t>
  </si>
  <si>
    <t xml:space="preserve">Yrs</t>
  </si>
  <si>
    <t xml:space="preserve">Emp (low)</t>
  </si>
  <si>
    <t xml:space="preserve">Emp (high)</t>
  </si>
  <si>
    <t xml:space="preserve">Employee source</t>
  </si>
  <si>
    <t xml:space="preserve">Est. rev low ($M)</t>
  </si>
  <si>
    <t xml:space="preserve">Est. rev high ($M)</t>
  </si>
  <si>
    <t xml:space="preserve">Est. sale price low ($M)</t>
  </si>
  <si>
    <t xml:space="preserve">Est. sale price high ($M)</t>
  </si>
  <si>
    <t xml:space="preserve">3rd-party rev est.</t>
  </si>
  <si>
    <t xml:space="preserve">Ownership</t>
  </si>
  <si>
    <t xml:space="preserve">Owner / principal</t>
  </si>
  <si>
    <t xml:space="preserve">Sale signal</t>
  </si>
  <si>
    <t xml:space="preserve">Signal basis (inference unless noted)</t>
  </si>
  <si>
    <t xml:space="preserve">Clients (stated)</t>
  </si>
  <si>
    <t xml:space="preserve">Services focus</t>
  </si>
  <si>
    <t xml:space="preserve">Rating (reviews)</t>
  </si>
  <si>
    <t xml:space="preserve">Notes / data conflicts</t>
  </si>
  <si>
    <t xml:space="preserve">A</t>
  </si>
  <si>
    <t xml:space="preserve">Computerbilities, Inc.</t>
  </si>
  <si>
    <t xml:space="preserve">Apex / Cary</t>
  </si>
  <si>
    <t xml:space="preserve">Crustdata: 14</t>
  </si>
  <si>
    <t xml:space="preserve">Owner-operated, independent</t>
  </si>
  <si>
    <t xml:space="preserve">Adam Pittman (founder; USAF veteran)</t>
  </si>
  <si>
    <t xml:space="preserve">High</t>
  </si>
  <si>
    <t xml:space="preserve">30-yr founder-owner; no visible succession team</t>
  </si>
  <si>
    <t xml:space="preserve">2,000+ businesses served (cumulative claim)</t>
  </si>
  <si>
    <t xml:space="preserve">General SMB MSP; accounting &amp; gov-contractor verticals</t>
  </si>
  <si>
    <t xml:space="preserve">5.0 (63 Google)</t>
  </si>
  <si>
    <t xml:space="preserve">ITSco</t>
  </si>
  <si>
    <t xml:space="preserve">Durham (RTP)</t>
  </si>
  <si>
    <t xml:space="preserve">LeadIQ ~30; VisualVisitor ~60 incl. offshore</t>
  </si>
  <si>
    <t xml:space="preserve">ZoomInfo band $1-10M</t>
  </si>
  <si>
    <t xml:space="preserve">George Terrone (CEO) &amp; Greg Wassil (CTO), co-founders</t>
  </si>
  <si>
    <t xml:space="preserve">29-yr firm, both founders still active; one source lists a non-founder CEO - transition may be starting</t>
  </si>
  <si>
    <t xml:space="preserve">60% of clients retained 5+ yrs</t>
  </si>
  <si>
    <t xml:space="preserve">Fixed-rate MSP/MSSP, engineering-heavy; NC/SC/VA</t>
  </si>
  <si>
    <t xml:space="preserve">CEO listings conflict (Terrone vs. Savino) - verify</t>
  </si>
  <si>
    <t xml:space="preserve">CSP, Inc. (Computer Service Partners)</t>
  </si>
  <si>
    <t xml:space="preserve">Raleigh</t>
  </si>
  <si>
    <t xml:space="preserve">Company site: ~40 staff</t>
  </si>
  <si>
    <t xml:space="preserve">Owner-operated; family in leadership</t>
  </si>
  <si>
    <t xml:space="preserve">William B. Riddick (owner/CEO since 1995); son Stephen Riddick VP Sales</t>
  </si>
  <si>
    <t xml:space="preserve">~30-yr owner, likely 60s; son in leadership suggests internal succession is possible</t>
  </si>
  <si>
    <t xml:space="preserve">Managed IT, security, cloud, business continuity; statewide</t>
  </si>
  <si>
    <t xml:space="preserve">TenPlus Systems</t>
  </si>
  <si>
    <t xml:space="preserve">Jumpfactor band 50-249 (likely overstated)</t>
  </si>
  <si>
    <t xml:space="preserve">Private, independent - ownership unverified</t>
  </si>
  <si>
    <t xml:space="preserve">Unknown</t>
  </si>
  <si>
    <t xml:space="preserve">Verify</t>
  </si>
  <si>
    <t xml:space="preserve">37-yr-old firm - ownership research needed</t>
  </si>
  <si>
    <t xml:space="preserve">Managed IT; Apple Authorized Service Provider; Lenovo partner</t>
  </si>
  <si>
    <t xml:space="preserve">4.6 (282 Google)</t>
  </si>
  <si>
    <t xml:space="preserve">Oldest sizable independent; verify owner &amp; headcount</t>
  </si>
  <si>
    <t xml:space="preserve">Cii Technology</t>
  </si>
  <si>
    <t xml:space="preserve">Raleigh (Six Forks Rd)</t>
  </si>
  <si>
    <t xml:space="preserve">Jumpfactor band 10-49</t>
  </si>
  <si>
    <t xml:space="preserve">45-yr-old firm; bills itself Raleigh's longest-running MSP</t>
  </si>
  <si>
    <t xml:space="preserve">Managed IT, cloud, vCIO, BDR; AEC/legal/accounting/healthcare</t>
  </si>
  <si>
    <t xml:space="preserve">5.0 (16 Google)</t>
  </si>
  <si>
    <t xml:space="preserve">ATCOM Business Technology Solutions</t>
  </si>
  <si>
    <t xml:space="preserve">RTP / Durham (+ Charlotte, Triad)</t>
  </si>
  <si>
    <t xml:space="preserve">LeadIQ ~96 (Jun 2026)</t>
  </si>
  <si>
    <t xml:space="preserve">Private, independent; founder unknown</t>
  </si>
  <si>
    <t xml:space="preserve">David Finch (President/CEO)</t>
  </si>
  <si>
    <t xml:space="preserve">Moderate</t>
  </si>
  <si>
    <t xml:space="preserve">47-yr-old company; ownership / transition status unverified</t>
  </si>
  <si>
    <t xml:space="preserve">Managed IT, MDR/pen-testing, cloud, hosted VoIP (telecom heritage)</t>
  </si>
  <si>
    <t xml:space="preserve">Largest local independent on this list</t>
  </si>
  <si>
    <t xml:space="preserve">Benchmark Network Solutions</t>
  </si>
  <si>
    <t xml:space="preserve">Durham</t>
  </si>
  <si>
    <t xml:space="preserve">InfoMSP band 10-20</t>
  </si>
  <si>
    <t xml:space="preserve">Locally owned, independent</t>
  </si>
  <si>
    <t xml:space="preserve">Faisal Ahmed (CEO; founder status unverified)</t>
  </si>
  <si>
    <t xml:space="preserve">33-yr-old firm; if CEO is the founder, late-career</t>
  </si>
  <si>
    <t xml:space="preserve">SMB managed IT, consulting, security, cloud</t>
  </si>
  <si>
    <t xml:space="preserve">RCOR Technologies</t>
  </si>
  <si>
    <t xml:space="preserve">Cary + Durham</t>
  </si>
  <si>
    <t xml:space="preserve">ZoomInfo 1-10; ~5 named staff</t>
  </si>
  <si>
    <t xml:space="preserve">Owner-operated</t>
  </si>
  <si>
    <t xml:space="preserve">Tim Richter (co-founder / President)</t>
  </si>
  <si>
    <t xml:space="preserve">34-yr firm, founder still President</t>
  </si>
  <si>
    <t xml:space="preserve">Managed IT, co-managed, MDR/EDR, backup</t>
  </si>
  <si>
    <t xml:space="preserve">Near the size floor - verify headcount</t>
  </si>
  <si>
    <t xml:space="preserve">ThinkTech Advisors</t>
  </si>
  <si>
    <t xml:space="preserve">Ed Burton (founder/CEO); Chris Barker (COO)</t>
  </si>
  <si>
    <t xml:space="preserve">27-yr founder-led; founder age ~60+ (inference)</t>
  </si>
  <si>
    <t xml:space="preserve">Hundreds of businesses (cumulative claim)</t>
  </si>
  <si>
    <t xml:space="preserve">MSP; healthcare, construction, legal, financial verticals</t>
  </si>
  <si>
    <t xml:space="preserve">4.9 (68 Google)</t>
  </si>
  <si>
    <t xml:space="preserve">Avaria Networks</t>
  </si>
  <si>
    <t xml:space="preserve">LeadIQ / ZoomInfo ~8-11</t>
  </si>
  <si>
    <t xml:space="preserve">Private - owner not publicly named</t>
  </si>
  <si>
    <t xml:space="preserve">33-yr-old firm still ~10 staff - lifestyle-business profile</t>
  </si>
  <si>
    <t xml:space="preserve">Managed IT, network design, cloud; RTP focus</t>
  </si>
  <si>
    <t xml:space="preserve">Owner identity unverified</t>
  </si>
  <si>
    <t xml:space="preserve">Secure Network Administration (SecureNA)</t>
  </si>
  <si>
    <t xml:space="preserve">ZoomInfo ~15; InfoMSP 20-50</t>
  </si>
  <si>
    <t xml:space="preserve">Locally owned; leadership listings conflict</t>
  </si>
  <si>
    <t xml:space="preserve">Joel Pippin (founder)</t>
  </si>
  <si>
    <t xml:space="preserve">20-yr founder-led; conflicting CEO listings may themselves signal a transition underway</t>
  </si>
  <si>
    <t xml:space="preserve">Serves orgs 10 to 200+ users</t>
  </si>
  <si>
    <t xml:space="preserve">Managed IT + security, M365/Google Workspace, BDR</t>
  </si>
  <si>
    <t xml:space="preserve">X</t>
  </si>
  <si>
    <t xml:space="preserve">Aggie Technologies NC</t>
  </si>
  <si>
    <t xml:space="preserve">ZoomInfo 1-10; 3 named staff</t>
  </si>
  <si>
    <t xml:space="preserve">ABSORBED - aggietechnc.com now redirects to TBS Technologies (tbstechnow.com)</t>
  </si>
  <si>
    <t xml:space="preserve">"Brian" (owner; surname unpublished; started at IBM)</t>
  </si>
  <si>
    <t xml:space="preserve">N/A</t>
  </si>
  <si>
    <t xml:space="preserve">Apparent recent absorption by TBS Technologies - the aging-founder thesis played out; precedent micro-deal</t>
  </si>
  <si>
    <t xml:space="preserve">SMB managed IT, Triangle-wide</t>
  </si>
  <si>
    <t xml:space="preserve">Redirect discovered Aug 2026 - verify deal details</t>
  </si>
  <si>
    <t xml:space="preserve">IT Practice, Inc.</t>
  </si>
  <si>
    <t xml:space="preserve">Raleigh (Departure Dr)</t>
  </si>
  <si>
    <t xml:space="preserve">ZoomInfo $5M rev suggests 5-15; verify</t>
  </si>
  <si>
    <t xml:space="preserve">$5M (ZoomInfo est., 2025)</t>
  </si>
  <si>
    <t xml:space="preserve">Tony Kattan (CEO)</t>
  </si>
  <si>
    <t xml:space="preserve">30-yr-old firm; owner likely 55-65 (inference); premium recurring dental vertical</t>
  </si>
  <si>
    <t xml:space="preserve">Fully managed IT, HaaS, VoIP, cloud; dental/medical HIPAA specialist since 1996</t>
  </si>
  <si>
    <t xml:space="preserve">Strong tuck-in or small platform; verify headcount</t>
  </si>
  <si>
    <t xml:space="preserve">B</t>
  </si>
  <si>
    <t xml:space="preserve">Trident Technology Solutions</t>
  </si>
  <si>
    <t xml:space="preserve">Wake Forest</t>
  </si>
  <si>
    <t xml:space="preserve">LinkedIn ~21</t>
  </si>
  <si>
    <t xml:space="preserve">Scott Moore (founder)</t>
  </si>
  <si>
    <t xml:space="preserve">Low</t>
  </si>
  <si>
    <t xml:space="preserve">21-yr firm but platform-scale and growing - more likely competing buyer than seller</t>
  </si>
  <si>
    <t xml:space="preserve">Managed IT / MSP for Triangle SMBs</t>
  </si>
  <si>
    <t xml:space="preserve">Logical platform acquisition or competing bidder</t>
  </si>
  <si>
    <t xml:space="preserve">TBS Technologies</t>
  </si>
  <si>
    <t xml:space="preserve">est. - mid-market MSP/print; ~1,000 customers claimed</t>
  </si>
  <si>
    <t xml:space="preserve">Owner-operated; ACTIVE LOCAL ACQUIRER (absorbed Aggie Technologies ~2025-26)</t>
  </si>
  <si>
    <t xml:space="preserve">"Ryan" (owner; surname unverified)</t>
  </si>
  <si>
    <t xml:space="preserve">Active consolidator - competing buyer in this market</t>
  </si>
  <si>
    <t xml:space="preserve">~1,000 customers (company claim)</t>
  </si>
  <si>
    <t xml:space="preserve">MSP + managed print</t>
  </si>
  <si>
    <t xml:space="preserve">Watch as rival bidder for micro tuck-ins</t>
  </si>
  <si>
    <t xml:space="preserve">Managed IT Solutions of NC</t>
  </si>
  <si>
    <t xml:space="preserve">ZoomInfo band 5-20</t>
  </si>
  <si>
    <t xml:space="preserve">Rob Downs (founded as Palladium Networks)</t>
  </si>
  <si>
    <t xml:space="preserve">24-yr owner; already acquired one brand (2015)</t>
  </si>
  <si>
    <t xml:space="preserve">MSP, VoIP, security, backup</t>
  </si>
  <si>
    <t xml:space="preserve">5.0 (15 Google)</t>
  </si>
  <si>
    <t xml:space="preserve">Mobile Computer Services</t>
  </si>
  <si>
    <t xml:space="preserve">Wake Forest + Raleigh</t>
  </si>
  <si>
    <t xml:space="preserve">BBB / listings (est.)</t>
  </si>
  <si>
    <t xml:space="preserve">Kara Mason (per ZoomInfo); BBB lists Curtis Webster - verify</t>
  </si>
  <si>
    <t xml:space="preserve">22-yr owner-operated firm</t>
  </si>
  <si>
    <t xml:space="preserve">Managed IT, 24/7 monitoring, network security</t>
  </si>
  <si>
    <t xml:space="preserve">5.0 (28 Google)</t>
  </si>
  <si>
    <t xml:space="preserve">Partial break-fix heritage; ownership partially unverified</t>
  </si>
  <si>
    <t xml:space="preserve">Accent Imaging</t>
  </si>
  <si>
    <t xml:space="preserve">est. - verify</t>
  </si>
  <si>
    <t xml:space="preserve">Private, independent</t>
  </si>
  <si>
    <t xml:space="preserve">42-yr-old firm</t>
  </si>
  <si>
    <t xml:space="preserve">Imaging/printing + managed IT hybrid</t>
  </si>
  <si>
    <t xml:space="preserve">5.0 (51 Google)</t>
  </si>
  <si>
    <t xml:space="preserve">MSP is a secondary line</t>
  </si>
  <si>
    <t xml:space="preserve">American Frontier</t>
  </si>
  <si>
    <t xml:space="preserve">Apex</t>
  </si>
  <si>
    <t xml:space="preserve">30-yr-old firm</t>
  </si>
  <si>
    <t xml:space="preserve">Network engineering, security, compliance</t>
  </si>
  <si>
    <t xml:space="preserve">Sysnet Technologies</t>
  </si>
  <si>
    <t xml:space="preserve">Private - unverified</t>
  </si>
  <si>
    <t xml:space="preserve">20+ years in operation</t>
  </si>
  <si>
    <t xml:space="preserve">Managed IT, structured cabling, AV</t>
  </si>
  <si>
    <t xml:space="preserve">Lightwire</t>
  </si>
  <si>
    <t xml:space="preserve">20+ years in operation (per Expertise)</t>
  </si>
  <si>
    <t xml:space="preserve">Managed IT, data protection, connectivity</t>
  </si>
  <si>
    <t xml:space="preserve">4.7 (26 Google)</t>
  </si>
  <si>
    <t xml:space="preserve">WingSwept</t>
  </si>
  <si>
    <t xml:space="preserve">Garner</t>
  </si>
  <si>
    <t xml:space="preserve">Tracxn 68; RocketReach 85</t>
  </si>
  <si>
    <t xml:space="preserve">ESOP (employee-owned, 2023); founder is CEO</t>
  </si>
  <si>
    <t xml:space="preserve">Jay Strickland (founder/CEO)</t>
  </si>
  <si>
    <t xml:space="preserve">Founder already took liquidity via ESOP - third-party sale unlikely</t>
  </si>
  <si>
    <t xml:space="preserve">MSP + cybersecurity + compliance (NIST/HIPAA/CMMC)</t>
  </si>
  <si>
    <t xml:space="preserve">5.0 (407 Google)</t>
  </si>
  <si>
    <t xml:space="preserve">Largest Wake Co. independent</t>
  </si>
  <si>
    <t xml:space="preserve">Net Friends</t>
  </si>
  <si>
    <t xml:space="preserve">ZoomInfo ~59 (DesignRush shows 100-249)</t>
  </si>
  <si>
    <t xml:space="preserve">~$10M (ZoomInfo est.)</t>
  </si>
  <si>
    <t xml:space="preserve">Independent; partners bought out founder 2020</t>
  </si>
  <si>
    <t xml:space="preserve">John Snyder (CEO) &amp; Neelesh Patel (co-owners); founder David Scarborough exited</t>
  </si>
  <si>
    <t xml:space="preserve">Ownership transition completed 2020; owners mid-career</t>
  </si>
  <si>
    <t xml:space="preserve">MSP / co-managed, 24/7 helpdesk, healthcare-HIPAA depth (Duke roots); SOC 2</t>
  </si>
  <si>
    <t xml:space="preserve">4.9 (90 Google)</t>
  </si>
  <si>
    <t xml:space="preserve">MSP 501 honoree 2023 &amp; 2025</t>
  </si>
  <si>
    <t xml:space="preserve">WorkSmart</t>
  </si>
  <si>
    <t xml:space="preserve">Durham (+ Charlotte, Greensboro, Atlanta)</t>
  </si>
  <si>
    <t xml:space="preserve">Company PR 70+; LinkedIn 51-200</t>
  </si>
  <si>
    <t xml:space="preserve">$26.1M (Kona Equity est.)</t>
  </si>
  <si>
    <t xml:space="preserve">Private; founders stepped back to hired CEO; active acquirer itself</t>
  </si>
  <si>
    <t xml:space="preserve">Ron Unger &amp; Ricky Ayers (co-founders); Donald DeMarco (CEO)</t>
  </si>
  <si>
    <t xml:space="preserve">Founders 25 yrs in with hired CEO - liquidity event plausible, but firm is a buyer, not a distressed seller</t>
  </si>
  <si>
    <t xml:space="preserve">Full MSP, co-managed, hybrid cloud, AI services; Inc. 5000 x12</t>
  </si>
  <si>
    <t xml:space="preserve">4.7 (38 Google)</t>
  </si>
  <si>
    <t xml:space="preserve">Has acquired 4+ local MSPs</t>
  </si>
  <si>
    <t xml:space="preserve">SAM IT Solutions</t>
  </si>
  <si>
    <t xml:space="preserve">Raleigh + Durham</t>
  </si>
  <si>
    <t xml:space="preserve">ZoomInfo 38</t>
  </si>
  <si>
    <t xml:space="preserve">$5.2M (ZoomInfo est.)</t>
  </si>
  <si>
    <t xml:space="preserve">Jamie Pleasants (CEO)</t>
  </si>
  <si>
    <t xml:space="preserve">16-yr firm; no age signals found</t>
  </si>
  <si>
    <t xml:space="preserve">MSP (~40%) + cloud (~30%) + software dev (~30%); healthcare / life-sci; ISO 27001</t>
  </si>
  <si>
    <t xml:space="preserve">4.9 (73 Google)</t>
  </si>
  <si>
    <t xml:space="preserve">XceedIT</t>
  </si>
  <si>
    <t xml:space="preserve">Raleigh (downtown)</t>
  </si>
  <si>
    <t xml:space="preserve">LeadIQ ~8; Indeed 11-50</t>
  </si>
  <si>
    <t xml:space="preserve">"Employee owned and operated" (self-described)</t>
  </si>
  <si>
    <t xml:space="preserve">Not publicly identified</t>
  </si>
  <si>
    <t xml:space="preserve">No signals found</t>
  </si>
  <si>
    <t xml:space="preserve">Managed IT + security, WiFi, M365, managed voice</t>
  </si>
  <si>
    <t xml:space="preserve">5.0 (67 Google)</t>
  </si>
  <si>
    <t xml:space="preserve">Enitech Solutions</t>
  </si>
  <si>
    <t xml:space="preserve">Datanyze ~13</t>
  </si>
  <si>
    <t xml:space="preserve">Antwine Jackson (founder); Chris White (COO)</t>
  </si>
  <si>
    <t xml:space="preserve">Young founder, growth mode</t>
  </si>
  <si>
    <t xml:space="preserve">MSP, security, M365, VoIP, cabling</t>
  </si>
  <si>
    <t xml:space="preserve">5.0 (12 Google)</t>
  </si>
  <si>
    <t xml:space="preserve">MSP 501 honoree 2025</t>
  </si>
  <si>
    <t xml:space="preserve">OnPar Technologies</t>
  </si>
  <si>
    <t xml:space="preserve">ZoomInfo ~10</t>
  </si>
  <si>
    <t xml:space="preserve">InfoMSP band $1-5M</t>
  </si>
  <si>
    <t xml:space="preserve">Jeremy McParlan (founder/CEO)</t>
  </si>
  <si>
    <t xml:space="preserve">Founder ~30 yrs into IT career (first MS cert 1995), plausibly mid-50s; founder-dependent</t>
  </si>
  <si>
    <t xml:space="preserve">Microsoft-centric MSP (Gold partner; M365/Azure); trucking / mfg verticals; Inc. 5000 2021</t>
  </si>
  <si>
    <t xml:space="preserve">5.0 (11 Facebook)</t>
  </si>
  <si>
    <t xml:space="preserve">Insight Tech Advisors</t>
  </si>
  <si>
    <t xml:space="preserve">Raleigh + Hillsborough</t>
  </si>
  <si>
    <t xml:space="preserve">est.; ZoomInfo 1-10</t>
  </si>
  <si>
    <t xml:space="preserve">Locally owned</t>
  </si>
  <si>
    <t xml:space="preserve">Tony Hayden (principal per LinkedIn); NC registration lists Craig Stapel</t>
  </si>
  <si>
    <t xml:space="preserve">Principal a business owner since 1996, likely 55+; operations trace to 2002</t>
  </si>
  <si>
    <t xml:space="preserve">MSP, security, cloud, BDR, AI; dedicated-technician model, no long-term contracts</t>
  </si>
  <si>
    <t xml:space="preserve">5.0 (61 Google)</t>
  </si>
  <si>
    <t xml:space="preserve">Conflicting principal names - verify</t>
  </si>
  <si>
    <t xml:space="preserve">Wellforce</t>
  </si>
  <si>
    <t xml:space="preserve">Raleigh + Washington DC (RTP office)</t>
  </si>
  <si>
    <t xml:space="preserve">LeadIQ ~15</t>
  </si>
  <si>
    <t xml:space="preserve">Independent, founder-led</t>
  </si>
  <si>
    <t xml:space="preserve">Chaz Vossburg (CEO)</t>
  </si>
  <si>
    <t xml:space="preserve">Young company and leadership</t>
  </si>
  <si>
    <t xml:space="preserve">100+ organizations</t>
  </si>
  <si>
    <t xml:space="preserve">AI-forward MSP; nonprofits / associations; biotech-compliance pitch</t>
  </si>
  <si>
    <t xml:space="preserve">Petronella Technology Group</t>
  </si>
  <si>
    <t xml:space="preserve">LinkedIn 2-10</t>
  </si>
  <si>
    <t xml:space="preserve">Craig Petronella (founder/CEO)</t>
  </si>
  <si>
    <t xml:space="preserve">24-yr founder-led; heavily personal-brand-driven (books, expert-witness work)</t>
  </si>
  <si>
    <t xml:space="preserve">Claims 2,500+ clients (unverified)</t>
  </si>
  <si>
    <t xml:space="preserve">CMMC/HIPAA compliance MSSP, digital forensics, managed IT</t>
  </si>
  <si>
    <t xml:space="preserve">Below size floor by headcount; kept for market prominence</t>
  </si>
  <si>
    <t xml:space="preserve">Freedom Tech</t>
  </si>
  <si>
    <t xml:space="preserve">Raleigh + Fayetteville</t>
  </si>
  <si>
    <t xml:space="preserve">DesignRush band &lt;49</t>
  </si>
  <si>
    <t xml:space="preserve">MSP, 24/7 support, cloud, VoIP; $149/hr listed</t>
  </si>
  <si>
    <t xml:space="preserve">4.2 (5 Google)</t>
  </si>
  <si>
    <t xml:space="preserve">Connect Cause</t>
  </si>
  <si>
    <t xml:space="preserve">Morrisville</t>
  </si>
  <si>
    <t xml:space="preserve">Nonprofit-only MSP; VoIP, security, cloud; flat-rate</t>
  </si>
  <si>
    <t xml:space="preserve">Benton Technology Solutions</t>
  </si>
  <si>
    <t xml:space="preserve">Veteran-owned</t>
  </si>
  <si>
    <t xml:space="preserve">MSP + cybersecurity; Triangle &amp; Triad</t>
  </si>
  <si>
    <t xml:space="preserve">4.9 (CloudSecureTech)</t>
  </si>
  <si>
    <t xml:space="preserve">Intelligent Visibility (iVi)</t>
  </si>
  <si>
    <t xml:space="preserve">est. - enterprise-grade shop, verify</t>
  </si>
  <si>
    <t xml:space="preserve">Enterprise co-managed IT, automation, network/cloud; CRN MSP 500 (2026)</t>
  </si>
  <si>
    <t xml:space="preserve">Enterprise focus - different buyer profile</t>
  </si>
  <si>
    <t xml:space="preserve">Technology Associates</t>
  </si>
  <si>
    <t xml:space="preserve">$12.2M (ZoomInfo; headcount heuristic says $6-8M)</t>
  </si>
  <si>
    <t xml:space="preserve">ACQUIRED - IT Solutions Consulting (PE-backed, PA), Dec 2025</t>
  </si>
  <si>
    <t xml:space="preserve">Pre-acquisition founders not named</t>
  </si>
  <si>
    <t xml:space="preserve">Already exited - precedent deal</t>
  </si>
  <si>
    <t xml:space="preserve">MSP, vCIO; CPA / insurance / engineering verticals</t>
  </si>
  <si>
    <t xml:space="preserve">4.9 (28 Google)</t>
  </si>
  <si>
    <t xml:space="preserve">Harbor IT (fka ComTech Network Solutions)</t>
  </si>
  <si>
    <t xml:space="preserve">Graham / Raleigh</t>
  </si>
  <si>
    <t xml:space="preserve">Third-party ~49</t>
  </si>
  <si>
    <t xml:space="preserve">~$8.5M (third-party est.)</t>
  </si>
  <si>
    <t xml:space="preserve">ACQUIRED - Harbor IT (Worklyn Partners platform), May 2026; brand retired</t>
  </si>
  <si>
    <t xml:space="preserve">Mike Farlow (co-founder, CEO)</t>
  </si>
  <si>
    <t xml:space="preserve">Harbor IT's 9th acquisition; Inc. 5000 2025</t>
  </si>
  <si>
    <t xml:space="preserve">MSP, security, cloud, VoIP; targets 10-100-employee firms</t>
  </si>
  <si>
    <t xml:space="preserve">5.0 (36 Google)</t>
  </si>
  <si>
    <t xml:space="preserve">Formerly comtechnc.com</t>
  </si>
  <si>
    <t xml:space="preserve">Progressive Computer Systems</t>
  </si>
  <si>
    <t xml:space="preserve">Chapel Hill</t>
  </si>
  <si>
    <t xml:space="preserve">LinkedIn 11-50</t>
  </si>
  <si>
    <t xml:space="preserve">ACQUIRED - NetGain Technologies (KY), Dec 2019</t>
  </si>
  <si>
    <t xml:space="preserve">Lisa Mitchell (co-founder, stayed post-deal); Mark Michal (co-founder)</t>
  </si>
  <si>
    <t xml:space="preserve">MSP, network security, cloud, backup/DR</t>
  </si>
  <si>
    <t xml:space="preserve">5.0 (46 Google)</t>
  </si>
  <si>
    <t xml:space="preserve">Scarlett Group (Raleigh office)</t>
  </si>
  <si>
    <t xml:space="preserve">Raleigh branch (HQ Jacksonville, FL)</t>
  </si>
  <si>
    <t xml:space="preserve">~25 firm-wide (third-party); DesignRush 50-99</t>
  </si>
  <si>
    <t xml:space="preserve">Branch of Florida firm - not locally owned</t>
  </si>
  <si>
    <t xml:space="preserve">Not a local acquisition target; local competitor</t>
  </si>
  <si>
    <t xml:space="preserve">MSP + IT audit / compliance DNA</t>
  </si>
  <si>
    <t xml:space="preserve">4.1 (9 DesignRush)</t>
  </si>
  <si>
    <t xml:space="preserve">F</t>
  </si>
  <si>
    <t xml:space="preserve">CMIT Solutions of Cary</t>
  </si>
  <si>
    <t xml:space="preserve">Cary</t>
  </si>
  <si>
    <t xml:space="preserve">est. single-territory franchise</t>
  </si>
  <si>
    <t xml:space="preserve">Locally owned franchise (CMIT national brand)</t>
  </si>
  <si>
    <t xml:space="preserve">Prakash Inuganti (President)</t>
  </si>
  <si>
    <t xml:space="preserve">Franchise resale is the standard exit; owner ex-networking-industry veteran</t>
  </si>
  <si>
    <t xml:space="preserve">Managed IT, security, cloud, BDR, compliance, UC</t>
  </si>
  <si>
    <t xml:space="preserve">Sale would run through franchisor rules</t>
  </si>
  <si>
    <t xml:space="preserve">CMIT Solutions of Chapel Hill</t>
  </si>
  <si>
    <t xml:space="preserve">unverified; likely small</t>
  </si>
  <si>
    <t xml:space="preserve">Locally owned franchise; veteran-owned</t>
  </si>
  <si>
    <t xml:space="preserve">Not published</t>
  </si>
  <si>
    <t xml:space="preserve">Managed IT, 24/7 monitoring; businesses 5-200 employees</t>
  </si>
  <si>
    <t xml:space="preserve">May be under size floor</t>
  </si>
  <si>
    <t xml:space="preserve">TeamLogic IT of Durham</t>
  </si>
  <si>
    <t xml:space="preserve">Durham (Pickett Rd)</t>
  </si>
  <si>
    <t xml:space="preserve">family business; count unverified</t>
  </si>
  <si>
    <t xml:space="preserve">&gt; $1M VERIFIED (Million Dollar Club 2022)</t>
  </si>
  <si>
    <t xml:space="preserve">Locally owned franchise (TeamLogic national brand)</t>
  </si>
  <si>
    <t xml:space="preserve">Dan &amp; Becky Thomas (franchisees)</t>
  </si>
  <si>
    <t xml:space="preserve">Children work in the business - family succession path exists; franchise resale typical exit</t>
  </si>
  <si>
    <t xml:space="preserve">MSP, security, cloud, business continuity</t>
  </si>
  <si>
    <t xml:space="preserve">Franchisee of the Year awardee</t>
  </si>
  <si>
    <t xml:space="preserve">TeamLogic IT of Chapel Hill / Carrboro</t>
  </si>
  <si>
    <t xml:space="preserve">Carrboro</t>
  </si>
  <si>
    <t xml:space="preserve">Locally owned franchise</t>
  </si>
  <si>
    <t xml:space="preserve">"Fernando" (owner; surname not published)</t>
  </si>
  <si>
    <t xml:space="preserve">Managed IT, security, cloud</t>
  </si>
  <si>
    <t xml:space="preserve">TeamLogic IT of Raleigh / Eastern NC</t>
  </si>
  <si>
    <t xml:space="preserve">Raleigh (downtown + N. Raleigh)</t>
  </si>
  <si>
    <t xml:space="preserve">multi-office regional; unverified</t>
  </si>
  <si>
    <t xml:space="preserve">PE-OWNED - IT Assist, Inc. (Salt Creek Capital), since Sep 2022</t>
  </si>
  <si>
    <t xml:space="preserve">Pratik Roychoudhury (CEO, IT Assist)</t>
  </si>
  <si>
    <t xml:space="preserve">Already PE-owned - precedent deal</t>
  </si>
  <si>
    <t xml:space="preserve">General MSP franchise offering</t>
  </si>
  <si>
    <t xml:space="preserve">C</t>
  </si>
  <si>
    <t xml:space="preserve">CoreManaged</t>
  </si>
  <si>
    <t xml:space="preserve">Unverified</t>
  </si>
  <si>
    <t xml:space="preserve">Co-managed IT, CMMC/NIST consulting, M365/Azure</t>
  </si>
  <si>
    <t xml:space="preserve">Tek-Help</t>
  </si>
  <si>
    <t xml:space="preserve">Managed IT, help desk, network mgmt, cloud</t>
  </si>
  <si>
    <t xml:space="preserve">Triangle Computer Services</t>
  </si>
  <si>
    <t xml:space="preserve">Longer-standing local brand per roundups</t>
  </si>
  <si>
    <t xml:space="preserve">Managed IT, helpdesk, procurement, cloud migrations</t>
  </si>
  <si>
    <t xml:space="preserve">Computer Solutions Inc. of Raleigh (CSI)</t>
  </si>
  <si>
    <t xml:space="preserve">Managed IT, help desk, network design, cloud</t>
  </si>
  <si>
    <t xml:space="preserve">Exinent</t>
  </si>
  <si>
    <t xml:space="preserve">DesignRush 50-99</t>
  </si>
  <si>
    <t xml:space="preserve">Rate card $50/hr suggests offshore-heavy delivery</t>
  </si>
  <si>
    <t xml:space="preserve">Managed services, cloud consulting, security, compliance</t>
  </si>
  <si>
    <t xml:space="preserve">4.8 (17 DesignRush)</t>
  </si>
  <si>
    <t xml:space="preserve">Verify local MSP substance</t>
  </si>
  <si>
    <t xml:space="preserve">Carolina Advanced Digital</t>
  </si>
  <si>
    <t xml:space="preserve">Siler City (serves Triangle)</t>
  </si>
  <si>
    <t xml:space="preserve">Network / wireless design, security, managed IT</t>
  </si>
  <si>
    <t xml:space="preserve">Outside core Triangle - included for coverage</t>
  </si>
  <si>
    <t xml:space="preserve">aap3 Inc.</t>
  </si>
  <si>
    <t xml:space="preserve">DesignRush 250-499 is global; US arm smaller</t>
  </si>
  <si>
    <t xml:space="preserve">US arm of UK firm - not locally owned</t>
  </si>
  <si>
    <t xml:space="preserve">Not an owner-operated local target</t>
  </si>
  <si>
    <t xml:space="preserve">Managed services, network mgmt, infrastructure, IT recruitment</t>
  </si>
  <si>
    <t xml:space="preserve">Smart Tech Solution</t>
  </si>
  <si>
    <t xml:space="preserve">Holly Springs</t>
  </si>
  <si>
    <t xml:space="preserve">Managed IT / IT services</t>
  </si>
  <si>
    <t xml:space="preserve">No website found</t>
  </si>
  <si>
    <t xml:space="preserve">AI Cyber Experts</t>
  </si>
  <si>
    <t xml:space="preserve">Cybersecurity / managed services</t>
  </si>
  <si>
    <t xml:space="preserve">Strategic Systems (SSI)</t>
  </si>
  <si>
    <t xml:space="preserve">Compliance-focused IT (HIPAA/PCI), managed security, private cloud, 24/7 NOC</t>
  </si>
  <si>
    <t xml:space="preserve">Website unconfirmed</t>
  </si>
  <si>
    <t xml:space="preserve">NetSmart, Inc.</t>
  </si>
  <si>
    <t xml:space="preserve">IT consulting, managed services</t>
  </si>
  <si>
    <t xml:space="preserve">Triangle CompuDocs</t>
  </si>
  <si>
    <t xml:space="preserve">Raleigh / Durham</t>
  </si>
  <si>
    <t xml:space="preserve">MSP for small businesses (UpCity-listed)</t>
  </si>
  <si>
    <t xml:space="preserve">First Service Carolina</t>
  </si>
  <si>
    <t xml:space="preserve">Network build / monitoring for SMBs (UpCity-listed)</t>
  </si>
  <si>
    <t xml:space="preserve">Roll-up potential</t>
  </si>
  <si>
    <t xml:space="preserve">City</t>
  </si>
  <si>
    <t xml:space="preserve">Est. staff</t>
  </si>
  <si>
    <t xml:space="preserve">Service mix (recurring vs break-fix)</t>
  </si>
  <si>
    <t xml:space="preserve">Client base</t>
  </si>
  <si>
    <t xml:space="preserve">Owner tenure / age signal (inference)</t>
  </si>
  <si>
    <t xml:space="preserve">Rationale</t>
  </si>
  <si>
    <t xml:space="preserve">Notes / status</t>
  </si>
  <si>
    <t xml:space="preserve">TCN Services, Inc.</t>
  </si>
  <si>
    <t xml:space="preserve">Raleigh / Cary</t>
  </si>
  <si>
    <t xml:space="preserve">Not disclosed - verify via NC SoS</t>
  </si>
  <si>
    <t xml:space="preserve">2-5 (est.)</t>
  </si>
  <si>
    <t xml:space="preserve">RECURRING 'TCN Bundle' support contracts (scheduled on-site + proactive maintenance) + hourly overflow; hosting, backup/DR, 24/7 monitoring</t>
  </si>
  <si>
    <t xml:space="preserve">Commercial B2B only, Carolinas / Mid-Atlantic</t>
  </si>
  <si>
    <t xml:space="preserve">45 years operating - owner almost certainly 60s-70s; strongest succession signal on this tab</t>
  </si>
  <si>
    <t xml:space="preserve">45-year contracted B2B book with a retirement-age owner. Top-priority outreach.</t>
  </si>
  <si>
    <t xml:space="preserve">Xpert Technology Solutions</t>
  </si>
  <si>
    <t xml:space="preserve">Raleigh (serves Cary/Wake Forest/Durham/Apex)</t>
  </si>
  <si>
    <t xml:space="preserve">Jonathan Habers (President) + Keith Hundley (CEO, via 2016 Hundley IT merger)</t>
  </si>
  <si>
    <t xml:space="preserve">4 (team page)</t>
  </si>
  <si>
    <t xml:space="preserve">RECURRING managed IT; healthcare IT, cybersecurity, backup, cloud, cabling; B2B only</t>
  </si>
  <si>
    <t xml:space="preserve">SMBs; healthcare vertical explicitly marketed</t>
  </si>
  <si>
    <t xml:space="preserve">Habers ~47 (SUNY Oswego 2001); 20 years operating; Hundley previously sold his own shop into this one</t>
  </si>
  <si>
    <t xml:space="preserve">20-yr B2B managed book, two exit-plausible owners, healthcare vertical adds value</t>
  </si>
  <si>
    <t xml:space="preserve">BBB A+; verify MRR vs project mix</t>
  </si>
  <si>
    <t xml:space="preserve">IT Guys, LLC</t>
  </si>
  <si>
    <t xml:space="preserve">Durham (720 9th St)</t>
  </si>
  <si>
    <t xml:space="preserve">Darius Dauer + Daryn O'Shea (CFO)</t>
  </si>
  <si>
    <t xml:space="preserve">4-5 (est.)</t>
  </si>
  <si>
    <t xml:space="preserve">RECURRING managed services (network/server/WiFi/cloud, 24/7 monitoring) + helpdesk + VoIP; B2B</t>
  </si>
  <si>
    <t xml:space="preserve">SMBs Durham / Chapel Hill / Raleigh / RTP; inherits Computer Cellar referral pipe</t>
  </si>
  <si>
    <t xml:space="preserve">O'Shea active since early 2000s and JUST SOLD his retail shop (Computer Cellar, 2026) - demonstrated willingness to sell assets</t>
  </si>
  <si>
    <t xml:space="preserve">Real B2B book; principals are proven sellers and themselves merged two books in 2017</t>
  </si>
  <si>
    <t xml:space="preserve">Moved from main Target List to this tab</t>
  </si>
  <si>
    <t xml:space="preserve">919 IT Solutions</t>
  </si>
  <si>
    <t xml:space="preserve">Tim Riley (founder)</t>
  </si>
  <si>
    <t xml:space="preserve">1-2 (est.)</t>
  </si>
  <si>
    <t xml:space="preserve">RECURRING managed services (24/7 monitoring, security, DR, cloud, maintenance contracts); B2B; no residential</t>
  </si>
  <si>
    <t xml:space="preserve">Triangle SMBs; also a WiFi-monitoring side product for rental hosts</t>
  </si>
  <si>
    <t xml:space="preserve">'25+ years enterprise IT' - likely late 40s-50s; 9 years operating</t>
  </si>
  <si>
    <t xml:space="preserve">Genuine recurring B2B book with a veteran solo owner - classic tuck-in</t>
  </si>
  <si>
    <t xml:space="preserve">Book size unknown - verify MRR</t>
  </si>
  <si>
    <t xml:space="preserve">The Tek, LLC</t>
  </si>
  <si>
    <t xml:space="preserve">Joey Costa (founder/CEO)</t>
  </si>
  <si>
    <t xml:space="preserve">RECURRING managed IT + MSSP / cybersecurity focus; VoIP, cloud hosting; B2B</t>
  </si>
  <si>
    <t xml:space="preserve">SMBs Raleigh/Durham; wealth-management vertical presence</t>
  </si>
  <si>
    <t xml:space="preserve">~24 years operating; '20+ years in cybersecurity' - likely 50s</t>
  </si>
  <si>
    <t xml:space="preserve">20+ yr recurring B2B/MSSP book, long-tenured founder, strong reviews</t>
  </si>
  <si>
    <t xml:space="preserve">5.0 Google (19) per earlier pass; verify headcount</t>
  </si>
  <si>
    <t xml:space="preserve">Medium</t>
  </si>
  <si>
    <t xml:space="preserve">Nice Guy IT</t>
  </si>
  <si>
    <t xml:space="preserve">Not disclosed - verify</t>
  </si>
  <si>
    <t xml:space="preserve">1 (est.)</t>
  </si>
  <si>
    <t xml:space="preserve">RECURRING RMM-based managed services (patching, AV, O365/GSuite mgmt); B2B; no residential</t>
  </si>
  <si>
    <t xml:space="preserve">Holly Springs / Apex / Cary small businesses</t>
  </si>
  <si>
    <t xml:space="preserve">Right service model, but owner identity/tenure and book size unverifiable; likely tiny solo book</t>
  </si>
  <si>
    <t xml:space="preserve">PMB mailing address - no office</t>
  </si>
  <si>
    <t xml:space="preserve">Oak City IT</t>
  </si>
  <si>
    <t xml:space="preserve">Alan Youngblood (founder)</t>
  </si>
  <si>
    <t xml:space="preserve">Managed IT (firewalls, backups, security) + web development; B2B</t>
  </si>
  <si>
    <t xml:space="preserve">SMBs to 250 seats; software, CPA, engineering verticals</t>
  </si>
  <si>
    <t xml:space="preserve">NC State 2008 grad, career start 2012 - ~40, mid-career growth mode</t>
  </si>
  <si>
    <t xml:space="preserve">Decent recurring model and verticals, but owner is young - less likely a seller</t>
  </si>
  <si>
    <t xml:space="preserve">Geeks for Business</t>
  </si>
  <si>
    <t xml:space="preserve">Matt Ferguson</t>
  </si>
  <si>
    <t xml:space="preserve">1-3 (est.)</t>
  </si>
  <si>
    <t xml:space="preserve">RECURRING managed plans (unlimited remote, EDR/MDR, UCaaS); pivoted away from residential (retired Geek Housecalls brand 2023)</t>
  </si>
  <si>
    <t xml:space="preserve">Central NC SMEs</t>
  </si>
  <si>
    <t xml:space="preserve">Started 2006 out of high school - ~38; rebuilding as MSP, growth mode</t>
  </si>
  <si>
    <t xml:space="preserve">Real managed pivot + 20 yrs goodwill, but owner young and scaling - not a motivated seller</t>
  </si>
  <si>
    <t xml:space="preserve">Brand lineage: Geek Housecalls 2006</t>
  </si>
  <si>
    <t xml:space="preserve">Airtight IT Solutions</t>
  </si>
  <si>
    <t xml:space="preserve">Branch of Droege Computing Services (30+ yr Durham firm)</t>
  </si>
  <si>
    <t xml:space="preserve">B2B support/consulting; custom arrangements - mix of retainers and hourly; no fixed tiers</t>
  </si>
  <si>
    <t xml:space="preserve">Triangle businesses, multiple industries</t>
  </si>
  <si>
    <t xml:space="preserve">Parent firm 3+ decades - principals likely near retirement</t>
  </si>
  <si>
    <t xml:space="preserve">Long-tenured B2B relationships, but Droege entanglement complicates a clean book purchase</t>
  </si>
  <si>
    <t xml:space="preserve">MacVantage, Inc.</t>
  </si>
  <si>
    <t xml:space="preserve">Bob Chandler (owner); Cindy Chandler (CFO)</t>
  </si>
  <si>
    <t xml:space="preserve">2-3 (named)</t>
  </si>
  <si>
    <t xml:space="preserve">Apple-focused consulting - business IT + home support + FileMaker/Claris dev; appointment/hourly model, recurring share unknown</t>
  </si>
  <si>
    <t xml:space="preserve">Businesses, nonprofits, schools, churches + individuals across NC</t>
  </si>
  <si>
    <t xml:space="preserve">Running the firm since 1992, first Mac in 1984 - mid-60s+; very strong retirement signal</t>
  </si>
  <si>
    <t xml:space="preserve">Exceptional owner-age signal and sticky Apple niche, but consulting model + consumer mix dilute book value</t>
  </si>
  <si>
    <t xml:space="preserve">Apple Consultants Network Five Star</t>
  </si>
  <si>
    <t xml:space="preserve">A Step Ahead IT</t>
  </si>
  <si>
    <t xml:space="preserve">Durham (Fay St)</t>
  </si>
  <si>
    <t xml:space="preserve">Nicole Schlosser (CEO)</t>
  </si>
  <si>
    <t xml:space="preserve">RECURRING managed IT (helpdesk, RMM, security, cloud) + Dell reseller + some break-fix</t>
  </si>
  <si>
    <t xml:space="preserve">SMBs, 'enterprise IT at small-business prices'</t>
  </si>
  <si>
    <t xml:space="preserve">10 years operating; owner age unknown</t>
  </si>
  <si>
    <t xml:space="preserve">Legitimate 10-yr B2B book with Dell channel; exit motivation unknown</t>
  </si>
  <si>
    <t xml:space="preserve">Woman-owned (note for outreach framing)</t>
  </si>
  <si>
    <t xml:space="preserve">AltaTech Solutions</t>
  </si>
  <si>
    <t xml:space="preserve">Raleigh (serves Garner / Fuquay-Varina corridor)</t>
  </si>
  <si>
    <t xml:space="preserve">Marco A. Castro (CEO)</t>
  </si>
  <si>
    <t xml:space="preserve">1 (BBB)</t>
  </si>
  <si>
    <t xml:space="preserve">RECURRING managed IT + VoIP, cabling, CCTV, website maintenance; B2B</t>
  </si>
  <si>
    <t xml:space="preserve">Southern/eastern Wake County small businesses</t>
  </si>
  <si>
    <t xml:space="preserve">'25+ years IT experience' - ~50, but the business is only 4 years old</t>
  </si>
  <si>
    <t xml:space="preserve">Experienced owner, real managed model, but young one-man book - cheap small tuck-in at best</t>
  </si>
  <si>
    <t xml:space="preserve">BBB A+ (accredited Nov 2025)</t>
  </si>
  <si>
    <t xml:space="preserve">PC Technika</t>
  </si>
  <si>
    <t xml:space="preserve">Raleigh (home-based)</t>
  </si>
  <si>
    <t xml:space="preserve">Filip Jirousek (founder)</t>
  </si>
  <si>
    <t xml:space="preserve">Mixed - managed services + networking + equipment sales + residential AV/home-theater lines</t>
  </si>
  <si>
    <t xml:space="preserve">Small businesses + residential</t>
  </si>
  <si>
    <t xml:space="preserve">26 years operating - ~50s</t>
  </si>
  <si>
    <t xml:space="preserve">Long tenure and some managed revenue, diluted by residential/AV work; modest MRR likely</t>
  </si>
  <si>
    <t xml:space="preserve">Computer Therapy, Inc.</t>
  </si>
  <si>
    <t xml:space="preserve">Lee Pollard</t>
  </si>
  <si>
    <t xml:space="preserve">Break-fix + 'personal IT department' positioning (implies some retainer work); residential + small business</t>
  </si>
  <si>
    <t xml:space="preserve">Home users + small businesses, Chapel Hill/Carrboro</t>
  </si>
  <si>
    <t xml:space="preserve">28 years operating - likely 55-65</t>
  </si>
  <si>
    <t xml:space="preserve">Tenured owner in a thin competitive submarket; small B2B retainer tail might be a cheap tuck-in</t>
  </si>
  <si>
    <t xml:space="preserve">Rated Low-Medium in source research</t>
  </si>
  <si>
    <t xml:space="preserve">Tech Trekkers</t>
  </si>
  <si>
    <t xml:space="preserve">Ray Wilson (owner since 2005)</t>
  </si>
  <si>
    <t xml:space="preserve">pre-2005</t>
  </si>
  <si>
    <t xml:space="preserve">BREAK-FIX heavy - repair, virus removal, data recovery + a small-business support page; 7,000+ cumulative one-off clients</t>
  </si>
  <si>
    <t xml:space="preserve">Residential + home office + small business</t>
  </si>
  <si>
    <t xml:space="preserve">30 years in trade - late 50s; note he bought this business himself in 2005</t>
  </si>
  <si>
    <t xml:space="preserve">Tenured owner but transactional book with minimal recurring revenue</t>
  </si>
  <si>
    <t xml:space="preserve">5.0 Yelp</t>
  </si>
  <si>
    <t xml:space="preserve">Elite Tech IT Consultants</t>
  </si>
  <si>
    <t xml:space="preserve">Not disclosed</t>
  </si>
  <si>
    <t xml:space="preserve">Mixed - monthly plans AND hourly break-fix AND web design/SEO</t>
  </si>
  <si>
    <t xml:space="preserve">Small businesses</t>
  </si>
  <si>
    <t xml:space="preserve">Unknown; '15 years combined experience' suggests junior</t>
  </si>
  <si>
    <t xml:space="preserve">Heavy web-design/hourly mix, Wix site, opaque owner - minimal recurring book</t>
  </si>
  <si>
    <t xml:space="preserve">theONbutton</t>
  </si>
  <si>
    <t xml:space="preserve">Neil Berman (President)</t>
  </si>
  <si>
    <t xml:space="preserve">HOURLY break-fix + remote support, home AND work; HIPAA EMR niche; no managed plans found</t>
  </si>
  <si>
    <t xml:space="preserve">Consumers + very small medical practices</t>
  </si>
  <si>
    <t xml:space="preserve">UK ACA accountant pre-founding - likely 55+; 12+ years operating</t>
  </si>
  <si>
    <t xml:space="preserve">Hourly/residential model; sites returning 403/503 - possible wind-down</t>
  </si>
  <si>
    <t xml:space="preserve">BBB A+; Angi awards 2013-15</t>
  </si>
  <si>
    <t xml:space="preserve">V.I.PC, L.L.C.</t>
  </si>
  <si>
    <t xml:space="preserve">'John E.' (surname unknown)</t>
  </si>
  <si>
    <t xml:space="preserve">RESIDENTIAL break-fix - home repair, upgrades, home networking</t>
  </si>
  <si>
    <t xml:space="preserve">Consumers / home users</t>
  </si>
  <si>
    <t xml:space="preserve">Residential repair, no recurring revenue - and the website is dead</t>
  </si>
  <si>
    <t xml:space="preserve">thevipc.com DNS dead; possible closure</t>
  </si>
  <si>
    <t xml:space="preserve">NC Computer Tech</t>
  </si>
  <si>
    <t xml:space="preserve">Al Williams</t>
  </si>
  <si>
    <t xml:space="preserve">BREAK-FIX - repairs, virus removal, data recovery, remote assistance; expanding into phone repair</t>
  </si>
  <si>
    <t xml:space="preserve">Residential + small business walk-in/on-site</t>
  </si>
  <si>
    <t xml:space="preserve">'20+ years experience' - 45-60</t>
  </si>
  <si>
    <t xml:space="preserve">One-man break-fix, no recurring book</t>
  </si>
  <si>
    <t xml:space="preserve">Covey Computer Services</t>
  </si>
  <si>
    <t xml:space="preserve">Nick Covey</t>
  </si>
  <si>
    <t xml:space="preserve">RESIDENTIAL break-fix - mobile on-site repair, virus removal, data recovery</t>
  </si>
  <si>
    <t xml:space="preserve">Consumers / home users primarily</t>
  </si>
  <si>
    <t xml:space="preserve">25 years operating - 50s+</t>
  </si>
  <si>
    <t xml:space="preserve">Residential hourly, no recurring contracts</t>
  </si>
  <si>
    <t xml:space="preserve">BBB accredited</t>
  </si>
  <si>
    <t xml:space="preserve">Absolute Computers</t>
  </si>
  <si>
    <t xml:space="preserve">Cary + Raleigh</t>
  </si>
  <si>
    <t xml:space="preserve">2-4 (est.)</t>
  </si>
  <si>
    <t xml:space="preserve">RETAIL break-fix - repair, custom builds + some network work</t>
  </si>
  <si>
    <t xml:space="preserve">Consumer-heavy; police/fire/schools repair accounts</t>
  </si>
  <si>
    <t xml:space="preserve">28 years operating - owner 55+</t>
  </si>
  <si>
    <t xml:space="preserve">Repair-shop model; institutional accounts the only mildly interesting asset</t>
  </si>
  <si>
    <t xml:space="preserve">Yelp 38 reviews</t>
  </si>
  <si>
    <t xml:space="preserve">Computer Services of Carolina</t>
  </si>
  <si>
    <t xml:space="preserve">Carrboro / Chapel Hill</t>
  </si>
  <si>
    <t xml:space="preserve">'Omair' (surname unknown)</t>
  </si>
  <si>
    <t xml:space="preserve">Break-fix computer repair (residential-leaning)</t>
  </si>
  <si>
    <t xml:space="preserve">Consumers</t>
  </si>
  <si>
    <t xml:space="preserve">Thin data; appears residential solo repair - verify before any outreach</t>
  </si>
  <si>
    <t xml:space="preserve">Surfaced via Angi/Yelp aggregators only</t>
  </si>
  <si>
    <t xml:space="preserve">VisCore IT Solutions</t>
  </si>
  <si>
    <t xml:space="preserve">Managed services / RMM marketing; B2B</t>
  </si>
  <si>
    <t xml:space="preserve">Wake Forest / N. Raleigh small businesses</t>
  </si>
  <si>
    <t xml:space="preserve">Brand new</t>
  </si>
  <si>
    <t xml:space="preserve">~1 year old; no book to buy</t>
  </si>
  <si>
    <t xml:space="preserve">Triangle Tech LLC</t>
  </si>
  <si>
    <t xml:space="preserve">Marshall Durden (founder/CEO)</t>
  </si>
  <si>
    <t xml:space="preserve">RECURRING managed IT, helpdesk, security - but no-contract model weakens stickiness</t>
  </si>
  <si>
    <t xml:space="preserve">Claims 100+ clients (self-reported)</t>
  </si>
  <si>
    <t xml:space="preserve">Founded 2024, aggressive SEO buildout - young founder in growth mode</t>
  </si>
  <si>
    <t xml:space="preserve">2 years old, builder not seller - more likely a competing consolidator than a target</t>
  </si>
  <si>
    <t xml:space="preserve">69+ Thumbtack reviews</t>
  </si>
  <si>
    <t xml:space="preserve">The Computer Cellar</t>
  </si>
  <si>
    <t xml:space="preserve">Founded by Daryn O'Shea - SOLD 2026 to Bull City Mobile Repair</t>
  </si>
  <si>
    <t xml:space="preserve">2-4 retail techs</t>
  </si>
  <si>
    <t xml:space="preserve">Walk-in RESIDENTIAL break-fix (PC/Mac repair); refers MSP work to IT Guys LLC</t>
  </si>
  <si>
    <t xml:space="preserve">Consumers; Indy Week best-of winner</t>
  </si>
  <si>
    <t xml:space="preserve">N/A - already sold</t>
  </si>
  <si>
    <t xml:space="preserve">No longer available; its value was the referral pipe into IT Guys LLC</t>
  </si>
  <si>
    <t xml:space="preserve">Precedent micro-deal (2026)</t>
  </si>
  <si>
    <t xml:space="preserve">Micro tuck-in pricing (from 2025-26 market benchmarks - see Acquirers tab):</t>
  </si>
  <si>
    <t xml:space="preserve">Break-fix books: ~2-3.5x SDE. Contracted-MRR micro-MSPs: ~3.5-5x EBITDA (needs 50%+ MRR and clean books). Typical structure: 60-70% cash at close, 10-20% seller note, 10-20% earnout; 30-90 days intro-to-close with an established buyer. Tuck-ins price 0.2-0.5x revenue below platform deals.</t>
  </si>
  <si>
    <t xml:space="preserve">Micro-market is already consolidating: Computer Cellar -&gt; Bull City Mobile Repair (2026) and Aggie Technologies -&gt; TBS Technologies (~2025-26). TBS is an active local micro-acquirer.</t>
  </si>
  <si>
    <t xml:space="preserve">Acquirer</t>
  </si>
  <si>
    <t xml:space="preserve">HQ</t>
  </si>
  <si>
    <t xml:space="preserve">Type</t>
  </si>
  <si>
    <t xml:space="preserve">Ownership / sponsor</t>
  </si>
  <si>
    <t xml:space="preserve">Triangle / NC deals (date)</t>
  </si>
  <si>
    <t xml:space="preserve">Wider footprint &amp; recent deals</t>
  </si>
  <si>
    <t xml:space="preserve">Appetite / criteria</t>
  </si>
  <si>
    <t xml:space="preserve">Actively acquiring?</t>
  </si>
  <si>
    <t xml:space="preserve">Katalyst / e4n</t>
  </si>
  <si>
    <t xml:space="preserve">Charlotte, NC</t>
  </si>
  <si>
    <t xml:space="preserve">Operator-led MSP/MSSP platform</t>
  </si>
  <si>
    <t xml:space="preserve">e4n (operator-led platform; CEO Luke Johnson holds equity; PE sponsor undisclosed)</t>
  </si>
  <si>
    <t xml:space="preserve">Layer27, Durham (Jul 2026) - first e4n tuck-in</t>
  </si>
  <si>
    <t xml:space="preserve">US platform launched May 2026; building momentum on more deals</t>
  </si>
  <si>
    <t xml:space="preserve">Security-first, AI-enabled mid-market MSPs; STATED Research Triangle expansion strategy</t>
  </si>
  <si>
    <t xml:space="preserve">YES - most likely rival bidder for a quality Triangle MSP right now</t>
  </si>
  <si>
    <t xml:space="preserve">Harbor IT</t>
  </si>
  <si>
    <t xml:space="preserve">New York, NY</t>
  </si>
  <si>
    <t xml:space="preserve">Cyber-first national platform (brands retired)</t>
  </si>
  <si>
    <t xml:space="preserve">Worklyn Partners (~$150M raised); portfolio incl. Quadrant InfoSec, Harbor Networks</t>
  </si>
  <si>
    <t xml:space="preserve">ComTech Computer Services, Graham/Raleigh (May 2026) - 9th acquisition</t>
  </si>
  <si>
    <t xml:space="preserve">400+ employees, clients in 40+ states</t>
  </si>
  <si>
    <t xml:space="preserve">Regulated / critical / complex environments; life sciences &amp; critical infrastructure cited for NC; midmarket</t>
  </si>
  <si>
    <t xml:space="preserve">YES - aggressive pace</t>
  </si>
  <si>
    <t xml:space="preserve">IT Solutions Consulting</t>
  </si>
  <si>
    <t xml:space="preserve">Fort Washington, PA</t>
  </si>
  <si>
    <t xml:space="preserve">Strategic platform (ESOP-rooted)</t>
  </si>
  <si>
    <t xml:space="preserve">Employee-owned (ESOP since 2012); Nautic Partners investment reported but UNCONFIRMED</t>
  </si>
  <si>
    <t xml:space="preserve">Technology Associates, Raleigh (Dec 2025)</t>
  </si>
  <si>
    <t xml:space="preserve">8 acquisitions incl. TN, KC, CA; founded 1994</t>
  </si>
  <si>
    <t xml:space="preserve">SMB MSPs; stated Southeast densification; healthcare/compliance affinity; publicly solicits sellers</t>
  </si>
  <si>
    <t xml:space="preserve">YES</t>
  </si>
  <si>
    <t xml:space="preserve">Evergreen Services Group / Lyra</t>
  </si>
  <si>
    <t xml:space="preserve">San Francisco, CA (Lyra: Chicago)</t>
  </si>
  <si>
    <t xml:space="preserve">Permanent-capital holdco (buy-and-hold forever; brands kept)</t>
  </si>
  <si>
    <t xml:space="preserve">Alpine Investors</t>
  </si>
  <si>
    <t xml:space="preserve">Sterling Technology Solutions, Charlotte (May 2025); NetGain (Chapel Hill office) via 2018 investment</t>
  </si>
  <si>
    <t xml:space="preserve">100+ MSP acquisitions globally; ~47 in 2025 alone; Lyra crossed $1B ARR 2025</t>
  </si>
  <si>
    <t xml:space="preserve">Founder exits, ~$1M+ EBITDA; fastest closes in the industry (&lt;90 days); never resells</t>
  </si>
  <si>
    <t xml:space="preserve">YES - highest-volume acquirer in the industry</t>
  </si>
  <si>
    <t xml:space="preserve">Cyber Advisors</t>
  </si>
  <si>
    <t xml:space="preserve">Minnesota</t>
  </si>
  <si>
    <t xml:space="preserve">PE platform (IT + security)</t>
  </si>
  <si>
    <t xml:space="preserve">Goldner Hawn (Minneapolis PE)</t>
  </si>
  <si>
    <t xml:space="preserve">Infranet Technologies (Wilmington + Raleigh-Durham offices), Oct 2025 - 10th add-on</t>
  </si>
  <si>
    <t xml:space="preserve">Serial cadence across Midwest, now eastward</t>
  </si>
  <si>
    <t xml:space="preserve">IT + cybersecurity capability adds; NC now an integration hub - further Carolinas tuck-ins plausible</t>
  </si>
  <si>
    <t xml:space="preserve">The 20 MSP</t>
  </si>
  <si>
    <t xml:space="preserve">Plano, TX</t>
  </si>
  <si>
    <t xml:space="preserve">Founder-led roll-up - NO private equity</t>
  </si>
  <si>
    <t xml:space="preserve">Founder-owned; bank-debt financed (Sunflower Bank facility)</t>
  </si>
  <si>
    <t xml:space="preserve">CSP Technologies (AZ+NC ops), Dec 2022; Charlotte service location</t>
  </si>
  <si>
    <t xml:space="preserve">48 MSPs acquired as of Jun 2026; buys from its own peer-group membership</t>
  </si>
  <si>
    <t xml:space="preserve">~$1-5M 'million-dollar MSPs'; zero earnouts; 60-90 day integrations</t>
  </si>
  <si>
    <t xml:space="preserve">YES - 4 deals announced Jun 2026</t>
  </si>
  <si>
    <t xml:space="preserve">Durham, NC</t>
  </si>
  <si>
    <t xml:space="preserve">Local strategic - NC's most acquisitive homegrown MSP</t>
  </si>
  <si>
    <t xml:space="preserve">Privately held; no PE sponsor found (unconfirmed)</t>
  </si>
  <si>
    <t xml:space="preserve">Carolina Technology Solutions (2009), Techie Inc (2010), Exceptional IT (2015), Pointe Systems (2016), CDI client base (2018), RMS + LAN Systems (Atlanta, 2021)</t>
  </si>
  <si>
    <t xml:space="preserve">70+ staff across NC/GA/PA/NY offices</t>
  </si>
  <si>
    <t xml:space="preserve">Small NC / Southeast SMB MSPs and client-base carve-outs - natural buyer for Triangle books under ~$3M</t>
  </si>
  <si>
    <t xml:space="preserve">UNCERTAIN - quiet since 2021, but the local logical buyer</t>
  </si>
  <si>
    <t xml:space="preserve">NetGain Technologies</t>
  </si>
  <si>
    <t xml:space="preserve">Lexington, KY</t>
  </si>
  <si>
    <t xml:space="preserve">Regional MSP consolidator</t>
  </si>
  <si>
    <t xml:space="preserve">Evergreen Services Group (majority since 2018)</t>
  </si>
  <si>
    <t xml:space="preserve">Progressive Computer Systems, Chapel Hill (Dec 2019) - now its NC office</t>
  </si>
  <si>
    <t xml:space="preserve">4EOS, TruTechnology and other tuck-ins across KY/OH/MO/TN arc</t>
  </si>
  <si>
    <t xml:space="preserve">Regional SMB/mid-market MSPs adjacent to existing offices</t>
  </si>
  <si>
    <t xml:space="preserve">MODERATE - no NC deal since 2019; permanent-hold exit buyer</t>
  </si>
  <si>
    <t xml:space="preserve">Ark Technology Consultants</t>
  </si>
  <si>
    <t xml:space="preserve">Garden City, NY</t>
  </si>
  <si>
    <t xml:space="preserve">Young strategic roll-up</t>
  </si>
  <si>
    <t xml:space="preserve">Founder-led; backing undisclosed</t>
  </si>
  <si>
    <t xml:space="preserve">5S Technologies, Cary (Mar 2024); 5S founder Mike Shook now Ark 'VP of the Carolinas'</t>
  </si>
  <si>
    <t xml:space="preserve">~103 employees (2024); 3 acquisitions by then</t>
  </si>
  <si>
    <t xml:space="preserve">Professional + managed services; building a Carolinas beachhead</t>
  </si>
  <si>
    <t xml:space="preserve">UNCERTAIN - nothing since Mar 2024</t>
  </si>
  <si>
    <t xml:space="preserve">Katalyst-rival: TBS Technologies</t>
  </si>
  <si>
    <t xml:space="preserve">Raleigh, NC</t>
  </si>
  <si>
    <t xml:space="preserve">Local strategic (micro tuck-ins)</t>
  </si>
  <si>
    <t xml:space="preserve">Absorbed Aggie Technologies, Durham (~2025-26; domain redirect evidence)</t>
  </si>
  <si>
    <t xml:space="preserve">Mid-market MSP + managed print; ~1,000 customers claimed</t>
  </si>
  <si>
    <t xml:space="preserve">Local micro-books</t>
  </si>
  <si>
    <t xml:space="preserve">YES (apparent) - the local rival for small tuck-ins</t>
  </si>
  <si>
    <t xml:space="preserve">ITPartners+</t>
  </si>
  <si>
    <t xml:space="preserve">Grand Rapids, MI</t>
  </si>
  <si>
    <t xml:space="preserve">Strategic</t>
  </si>
  <si>
    <t xml:space="preserve">Undisclosed</t>
  </si>
  <si>
    <t xml:space="preserve">Cloud Server Techs, Hertford NC (May 2025); now markets an NC managed-services page</t>
  </si>
  <si>
    <t xml:space="preserve">Partnership/merger activity with Netrix IT, ASG 365</t>
  </si>
  <si>
    <t xml:space="preserve">Small-end SMB books</t>
  </si>
  <si>
    <t xml:space="preserve">Logically</t>
  </si>
  <si>
    <t xml:space="preserve">Portland, ME</t>
  </si>
  <si>
    <t xml:space="preserve">PE platform</t>
  </si>
  <si>
    <t xml:space="preserve">The Riverside Company</t>
  </si>
  <si>
    <t xml:space="preserve">Carolinas IT, Raleigh (Dec 2019)</t>
  </si>
  <si>
    <t xml:space="preserve">Serial: Cerdant, Cornerstone IT, Network Support Co.; ~225+ staff</t>
  </si>
  <si>
    <t xml:space="preserve">Premium SMB managed IT + security in 9 states incl. NC</t>
  </si>
  <si>
    <t xml:space="preserve">MODERATE - no recent NC deal; Riverside vintage implies eventual platform exit</t>
  </si>
  <si>
    <t xml:space="preserve">Magna5</t>
  </si>
  <si>
    <t xml:space="preserve">Pittsburgh, PA</t>
  </si>
  <si>
    <t xml:space="preserve">Sponsor unconfirmed (historically NewSpring); Canaccord ran a Feb 2026 transaction process - ownership event likely</t>
  </si>
  <si>
    <t xml:space="preserve">StableNet, NC (Mar 2022)</t>
  </si>
  <si>
    <t xml:space="preserve">4 MSP acquisitions by 2022</t>
  </si>
  <si>
    <t xml:space="preserve">Mid-market MSPs</t>
  </si>
  <si>
    <t xml:space="preserve">UNCERTAIN - re-platforming</t>
  </si>
  <si>
    <t xml:space="preserve">TeamLogic IT (franchisor)</t>
  </si>
  <si>
    <t xml:space="preserve">Mission Viejo, CA</t>
  </si>
  <si>
    <t xml:space="preserve">Franchisor (now owns its largest operator IT Assist)</t>
  </si>
  <si>
    <t xml:space="preserve">Franchisor; Salt Creek sold IT Assist to it ~2023</t>
  </si>
  <si>
    <t xml:space="preserve">IT Assist bought TeamLogic Raleigh territory Sep 2022</t>
  </si>
  <si>
    <t xml:space="preserve">200+ US locations</t>
  </si>
  <si>
    <t xml:space="preserve">Buyer channel for micro-MSPs (&lt;$1M) via franchise conversions/resales</t>
  </si>
  <si>
    <t xml:space="preserve">YES (as a channel)</t>
  </si>
  <si>
    <t xml:space="preserve">New Charter Technologies</t>
  </si>
  <si>
    <t xml:space="preserve">Denver, CO</t>
  </si>
  <si>
    <t xml:space="preserve">PE platform - decentralized partnership model (operators keep equity)</t>
  </si>
  <si>
    <t xml:space="preserve">Oval Partners (Palo Alto)</t>
  </si>
  <si>
    <t xml:space="preserve">None in Triangle; Biz Technology Solutions, Mooresville NC (~2021-22)</t>
  </si>
  <si>
    <t xml:space="preserve">~32 platform firms by early 2026; Orchestrate AI Labs (Feb 2025)</t>
  </si>
  <si>
    <t xml:space="preserve">High-performing regional MSPs; Southeast coverage a stated goal; named active in NC</t>
  </si>
  <si>
    <t xml:space="preserve">Thrive</t>
  </si>
  <si>
    <t xml:space="preserve">Foxborough, MA</t>
  </si>
  <si>
    <t xml:space="preserve">PE platform - integrated national</t>
  </si>
  <si>
    <t xml:space="preserve">Court Square Capital + Berkshire Partners (Jan 2025)</t>
  </si>
  <si>
    <t xml:space="preserve">None yet; named in NC buyer pipelines</t>
  </si>
  <si>
    <t xml:space="preserve">~$400M revenue, 1,600 staff, 26 acquisitions through Sep 2025; Southeast anchor in Birmingham AL</t>
  </si>
  <si>
    <t xml:space="preserve">Cyber/cloud/compliance-heavy mid-market; healthcare &amp; financial services; East Coast densification</t>
  </si>
  <si>
    <t xml:space="preserve">Ntiva</t>
  </si>
  <si>
    <t xml:space="preserve">McLean, VA</t>
  </si>
  <si>
    <t xml:space="preserve">PSP Capital (Penny Pritzker), since 2022</t>
  </si>
  <si>
    <t xml:space="preserve">None yet; named active in NC</t>
  </si>
  <si>
    <t xml:space="preserve">$170M+ revenue; The Purple Guys (Apr 2024), Site Tech Services (Sep 2025)</t>
  </si>
  <si>
    <t xml:space="preserve">SMB/mid-market pure-play MSPs; vertical expertise adds</t>
  </si>
  <si>
    <t xml:space="preserve">VC3</t>
  </si>
  <si>
    <t xml:space="preserve">Columbia, SC</t>
  </si>
  <si>
    <t xml:space="preserve">Nautic Partners</t>
  </si>
  <si>
    <t xml:space="preserve">None found; serves Carolinas from SC next door</t>
  </si>
  <si>
    <t xml:space="preserve">DominionTech (VT), CompuVision (Canada)</t>
  </si>
  <si>
    <t xml:space="preserve">Municipal/local-government IT + mid-market; adjacent-state expansion</t>
  </si>
  <si>
    <t xml:space="preserve">YES - among most active 2024-26</t>
  </si>
  <si>
    <t xml:space="preserve">Integris</t>
  </si>
  <si>
    <t xml:space="preserve">Cranbury, NJ</t>
  </si>
  <si>
    <t xml:space="preserve">OMERS Private Equity (closed early 2025; ex-Frontenac)</t>
  </si>
  <si>
    <t xml:space="preserve">None found</t>
  </si>
  <si>
    <t xml:space="preserve">TechMD + 1nteger Security (Jun 2025) - largest to date</t>
  </si>
  <si>
    <t xml:space="preserve">East Coast / South network claimed</t>
  </si>
  <si>
    <t xml:space="preserve">Sourcepass</t>
  </si>
  <si>
    <t xml:space="preserve">Jericho, NY</t>
  </si>
  <si>
    <t xml:space="preserve">Funded platform ($135M+ raised)</t>
  </si>
  <si>
    <t xml:space="preserve">Institutional backing; sponsor not fully verified</t>
  </si>
  <si>
    <t xml:space="preserve">None; GA-VA Southeast corridor brackets NC</t>
  </si>
  <si>
    <t xml:space="preserve">500+ staff, 2,000+ clients, 13 acquisitions since 2022; Liberty Technology GA (Dec 2025)</t>
  </si>
  <si>
    <t xml:space="preserve">Southeast fill-in logical next step</t>
  </si>
  <si>
    <t xml:space="preserve">Dataprise</t>
  </si>
  <si>
    <t xml:space="preserve">Rockville, MD</t>
  </si>
  <si>
    <t xml:space="preserve">Trinity Hunt Partners</t>
  </si>
  <si>
    <t xml:space="preserve">None; 360IT Partners, Virginia Beach (Oct 2024) puts them next door</t>
  </si>
  <si>
    <t xml:space="preserve">~$130M+ revenue; 10 acquisitions, most active single acquirer of 2024</t>
  </si>
  <si>
    <t xml:space="preserve">Mid-Atlantic drifting toward Southeast</t>
  </si>
  <si>
    <t xml:space="preserve">YES (2024-25 cadence)</t>
  </si>
  <si>
    <t xml:space="preserve">Corsica Technologies</t>
  </si>
  <si>
    <t xml:space="preserve">Greenville, SC / Centreville, MD</t>
  </si>
  <si>
    <t xml:space="preserve">PE-backed</t>
  </si>
  <si>
    <t xml:space="preserve">Sponsor not verified</t>
  </si>
  <si>
    <t xml:space="preserve">None; SC base adjacent</t>
  </si>
  <si>
    <t xml:space="preserve">EDTS (GA/SC, 2019); AccountabilIT (Nov 2025)</t>
  </si>
  <si>
    <t xml:space="preserve">Midwest / Southeast / Mid-Atlantic coverage</t>
  </si>
  <si>
    <t xml:space="preserve">Meriplex</t>
  </si>
  <si>
    <t xml:space="preserve">Houston, TX</t>
  </si>
  <si>
    <t xml:space="preserve">Vitruvian Partners (Dec 2024)</t>
  </si>
  <si>
    <t xml:space="preserve">None</t>
  </si>
  <si>
    <t xml:space="preserve">12 acquisitions total; F1 Solutions (AL)</t>
  </si>
  <si>
    <t xml:space="preserve">Paused - likely re-platforming under new sponsor</t>
  </si>
  <si>
    <t xml:space="preserve">PAUSED</t>
  </si>
  <si>
    <t xml:space="preserve">VALUATION BENCHMARKS (2025-26)</t>
  </si>
  <si>
    <t xml:space="preserve">2025 market: 466 North American MSP deals (+20-27% YoY); $4.3B+ disclosed value; PE in 69% of disclosed deals; median EBITDA multiple 9.0x. Most competitive band: $5-15M ARR.</t>
  </si>
  <si>
    <t xml:space="preserve">EBITDA multiples by size (CT Acquisitions NC page / Unglin / masignal composites): sub-$1M break-fix 2-3.5x SDE | sub-$1M managed 3.5-5x | $1-3M EBITDA 5-8x (75%+ MRR preferred) | $3-5M EBITDA 7-10x | $5M+ EBITDA 10-14x+.</t>
  </si>
  <si>
    <t xml:space="preserve">Recurring-revenue effect: 80%+ MRR trades 1-2 full turns higher; quality-vs-average gap has widened to 2.5-4.0 turns. Client &gt;30% of revenue compresses the multiple 0.5-1x and pushes earnout-heavy structure.</t>
  </si>
  <si>
    <t xml:space="preserve">Typical structures: micro (&lt;$1M rev) 60-70% cash / 10-20% seller note / 10-20% earnout, 30-90 days to close. Mid-market ($1-10M rev): cash-primary, 10-30% rollover equity with PE platforms, 12-24-month revenue-based earnouts, 18-24-month key-staff agreements.</t>
  </si>
  <si>
    <t xml:space="preserve">Raleigh-Durham note: secondary markets price 0.5-1.0 turns LOWER than primary metros, but buyer activity is accelerating in 2025-26 as primary markets get picked over.</t>
  </si>
  <si>
    <t xml:space="preserve">MOST LIKELY RIVAL BIDDERS for a Triangle target, ranked by demonstrated local intent (inference): 1) Katalyst/e4n  2) Harbor IT/Worklyn  3) IT Solutions  4) Evergreen/Lyra  5) Cyber Advisors - plus Thrive, Ntiva, New Charter per NC buyer lists. Rows highlighted pink have already closed NC deals.</t>
  </si>
  <si>
    <t xml:space="preserve">Target</t>
  </si>
  <si>
    <t xml:space="preserve">Approx. size at deal</t>
  </si>
  <si>
    <t xml:space="preserve">Buyer / structure</t>
  </si>
  <si>
    <t xml:space="preserve">Buyer type</t>
  </si>
  <si>
    <t xml:space="preserve">Date</t>
  </si>
  <si>
    <t xml:space="preserve">Notes</t>
  </si>
  <si>
    <t xml:space="preserve">Layer27</t>
  </si>
  <si>
    <t xml:space="preserve">Durham (American Tobacco Campus)</t>
  </si>
  <si>
    <t xml:space="preserve">5-10 employees; ~$1-2M rev (est.)</t>
  </si>
  <si>
    <t xml:space="preserve">Katalyst / e4n platform</t>
  </si>
  <si>
    <t xml:space="preserve">Operator-led MSP platform</t>
  </si>
  <si>
    <t xml:space="preserve">Jul 2026</t>
  </si>
  <si>
    <t xml:space="preserve">First e4n tuck-in; explicit Research Triangle expansion strategy</t>
  </si>
  <si>
    <t xml:space="preserve">ComTech Computer Services -&gt; Harbor IT</t>
  </si>
  <si>
    <t xml:space="preserve">~49 employees; ~$8.5M rev (est.)</t>
  </si>
  <si>
    <t xml:space="preserve">Harbor IT (Worklyn Partners, ~$150M raised)</t>
  </si>
  <si>
    <t xml:space="preserve">Cyber-first national platform; brand retired</t>
  </si>
  <si>
    <t xml:space="preserve">May 2026</t>
  </si>
  <si>
    <t xml:space="preserve">Harbor's 9th acquisition; Southeast build-out; Inc. 5000 2025</t>
  </si>
  <si>
    <t xml:space="preserve">~38 employees; $6-12M rev</t>
  </si>
  <si>
    <t xml:space="preserve">IT Solutions Consulting (PA)</t>
  </si>
  <si>
    <t xml:space="preserve">ESOP-rooted strategic; Nautic investment reported (unconfirmed)</t>
  </si>
  <si>
    <t xml:space="preserve">Dec 2025</t>
  </si>
  <si>
    <t xml:space="preserve">Stated intent: further Southeast expansion; solicits sellers on its site</t>
  </si>
  <si>
    <t xml:space="preserve">Infranet Technologies Group</t>
  </si>
  <si>
    <t xml:space="preserve">Wilmington HQ; Raleigh-Durham office</t>
  </si>
  <si>
    <t xml:space="preserve">51-200 employees firm-wide</t>
  </si>
  <si>
    <t xml:space="preserve">Cyber Advisors (Goldner Hawn PE)</t>
  </si>
  <si>
    <t xml:space="preserve">PE platform - 10th add-on</t>
  </si>
  <si>
    <t xml:space="preserve">Oct 2025</t>
  </si>
  <si>
    <t xml:space="preserve">Founder Michael Chittum; NC becomes eastward integration hub</t>
  </si>
  <si>
    <t xml:space="preserve">micro (~3 staff)</t>
  </si>
  <si>
    <t xml:space="preserve">TBS Technologies (Raleigh)</t>
  </si>
  <si>
    <t xml:space="preserve">Local strategic</t>
  </si>
  <si>
    <t xml:space="preserve">~2025-26</t>
  </si>
  <si>
    <t xml:space="preserve">aggietechnc.com now redirects to tbstechnow.com; verify deal details</t>
  </si>
  <si>
    <t xml:space="preserve">retail repair shop</t>
  </si>
  <si>
    <t xml:space="preserve">Bull City Mobile Repair</t>
  </si>
  <si>
    <t xml:space="preserve">Local strategic (consumer repair)</t>
  </si>
  <si>
    <t xml:space="preserve">2026</t>
  </si>
  <si>
    <t xml:space="preserve">Founder Daryn O'Shea retains IT Guys LLC (B2B book)</t>
  </si>
  <si>
    <t xml:space="preserve">Sterling Technology Solutions</t>
  </si>
  <si>
    <t xml:space="preserve">Charlotte</t>
  </si>
  <si>
    <t xml:space="preserve">SMB MSP</t>
  </si>
  <si>
    <t xml:space="preserve">Evergreen Services Group (Alpine Investors)</t>
  </si>
  <si>
    <t xml:space="preserve">Permanent-hold consolidator</t>
  </si>
  <si>
    <t xml:space="preserve">May 2025</t>
  </si>
  <si>
    <t xml:space="preserve">Evergreen's NC entry beyond NetGain; new CEO installed</t>
  </si>
  <si>
    <t xml:space="preserve">Cloud Server Techs</t>
  </si>
  <si>
    <t xml:space="preserve">Hertford, NC (eastern NC)</t>
  </si>
  <si>
    <t xml:space="preserve">small SMB IT provider</t>
  </si>
  <si>
    <t xml:space="preserve">ITPartners+ (Grand Rapids, MI)</t>
  </si>
  <si>
    <t xml:space="preserve">Buyer now markets NC managed-services page</t>
  </si>
  <si>
    <t xml:space="preserve">5S Technologies</t>
  </si>
  <si>
    <t xml:space="preserve">~20 employees</t>
  </si>
  <si>
    <t xml:space="preserve">Ark Technology Consultants (NY)</t>
  </si>
  <si>
    <t xml:space="preserve">Mar 2024</t>
  </si>
  <si>
    <t xml:space="preserve">Founder Mike Shook became Ark 'VP of the Carolinas'</t>
  </si>
  <si>
    <t xml:space="preserve">WingSwept (ESOP)</t>
  </si>
  <si>
    <t xml:space="preserve">~68-85 employees; $10-17M rev (est.)</t>
  </si>
  <si>
    <t xml:space="preserve">Employee Stock Ownership Plan</t>
  </si>
  <si>
    <t xml:space="preserve">Internal / employee buyout</t>
  </si>
  <si>
    <t xml:space="preserve">2023</t>
  </si>
  <si>
    <t xml:space="preserve">Founder Jay Strickland remains CEO - liquidity without a sale</t>
  </si>
  <si>
    <t xml:space="preserve">multi-office franchise territory</t>
  </si>
  <si>
    <t xml:space="preserve">IT Assist, Inc. (Salt Creek Capital)</t>
  </si>
  <si>
    <t xml:space="preserve">PE-owned franchise operator</t>
  </si>
  <si>
    <t xml:space="preserve">Sep 2022</t>
  </si>
  <si>
    <t xml:space="preserve">Salt Creek later sold IT Assist to the TeamLogic franchisor (~2023)</t>
  </si>
  <si>
    <t xml:space="preserve">StableNet</t>
  </si>
  <si>
    <t xml:space="preserve">NC</t>
  </si>
  <si>
    <t xml:space="preserve">SMB MSP (mfg/legal/financial)</t>
  </si>
  <si>
    <t xml:space="preserve">Mar 2022</t>
  </si>
  <si>
    <t xml:space="preserve">Magna5's 4th MSP acquisition</t>
  </si>
  <si>
    <t xml:space="preserve">CSP Technologies (AZ + NC ops)</t>
  </si>
  <si>
    <t xml:space="preserve">AZ / NC</t>
  </si>
  <si>
    <t xml:space="preserve">member MSP</t>
  </si>
  <si>
    <t xml:space="preserve">The 20 MSP (Plano, TX)</t>
  </si>
  <si>
    <t xml:space="preserve">No-PE roll-up of its member MSPs</t>
  </si>
  <si>
    <t xml:space="preserve">Dec 2022</t>
  </si>
  <si>
    <t xml:space="preserve">The 20 has 48 MSPs acquired as of Jun 2026</t>
  </si>
  <si>
    <t xml:space="preserve">Net Friends (internal sale)</t>
  </si>
  <si>
    <t xml:space="preserve">~50-60 employees</t>
  </si>
  <si>
    <t xml:space="preserve">John Snyder &amp; Neelesh Patel (management)</t>
  </si>
  <si>
    <t xml:space="preserve">Internal succession</t>
  </si>
  <si>
    <t xml:space="preserve">2020</t>
  </si>
  <si>
    <t xml:space="preserve">Founder David Scarborough exited to partners</t>
  </si>
  <si>
    <t xml:space="preserve">Carolinas IT</t>
  </si>
  <si>
    <t xml:space="preserve">sizable regional MSP</t>
  </si>
  <si>
    <t xml:space="preserve">Logically (The Riverside Company)</t>
  </si>
  <si>
    <t xml:space="preserve">Dec 2019</t>
  </si>
  <si>
    <t xml:space="preserve">Took Logically to ~225 employees</t>
  </si>
  <si>
    <t xml:space="preserve">11-50 employees</t>
  </si>
  <si>
    <t xml:space="preserve">NetGain Technologies (Evergreen-owned)</t>
  </si>
  <si>
    <t xml:space="preserve">Co-founder Lisa Mitchell stayed post-acquisition</t>
  </si>
  <si>
    <t xml:space="preserve">Xpert Technology Solutions + Hundley IT</t>
  </si>
  <si>
    <t xml:space="preserve">Cary / Raleigh</t>
  </si>
  <si>
    <t xml:space="preserve">micro (~3 employees)</t>
  </si>
  <si>
    <t xml:space="preserve">Merger of equals</t>
  </si>
  <si>
    <t xml:space="preserve">Micro-merger</t>
  </si>
  <si>
    <t xml:space="preserve">2016</t>
  </si>
  <si>
    <t xml:space="preserve">Both principals still run the combined shop - see Small Shops tab</t>
  </si>
  <si>
    <t xml:space="preserve">See the 'Acquirers' tab for the full buyer landscape, sponsors, and valuation benchmarks.</t>
  </si>
  <si>
    <t xml:space="preserve">Market context: 466 MSP deals closed in North America in 2025 (+20-27% YoY, $4.3B+ disclosed value, PE in 69% of disclosed deals). Three Triangle exits in the 8 months to Jul 2026 - the market has flipped from dormant to hot.</t>
  </si>
  <si>
    <t xml:space="preserve">Location</t>
  </si>
  <si>
    <t xml:space="preserve">Reason excluded</t>
  </si>
  <si>
    <t xml:space="preserve">NOTE: micro-shops formerly excluded for size (919 IT, Xpert, The Tek, TCN Services, Nice Guy IT, etc.)</t>
  </si>
  <si>
    <t xml:space="preserve">Triangle-wide</t>
  </si>
  <si>
    <t xml:space="preserve">Moved to the 'Small Shops (Roll-up)' tab with full tuck-in assessments</t>
  </si>
  <si>
    <t xml:space="preserve">Help Techs</t>
  </si>
  <si>
    <t xml:space="preserve">listed as Durham</t>
  </si>
  <si>
    <t xml:space="preserve">Could not be verified as a real Durham business - only match is a SC web-design firm; likely a directory error</t>
  </si>
  <si>
    <t xml:space="preserve">Varidx</t>
  </si>
  <si>
    <t xml:space="preserve">Not an MSP - AI smart-city platform company (11-50 staff, government clients); remove from MSP tracking</t>
  </si>
  <si>
    <t xml:space="preserve">AdvanceCo, Inc.</t>
  </si>
  <si>
    <t xml:space="preserve">Durham / Raleigh</t>
  </si>
  <si>
    <t xml:space="preserve">Consulting / staff-augmentation model (2 people), not a monitorable recurring MSP book</t>
  </si>
  <si>
    <t xml:space="preserve">PiTech Solutions</t>
  </si>
  <si>
    <t xml:space="preserve">Durham / RTP</t>
  </si>
  <si>
    <t xml:space="preserve">Federal-agency IT consulting and analytics, not an SMB MSP</t>
  </si>
  <si>
    <t xml:space="preserve">JupiterOne, Zaloni, Techcello, SinglepointAI, rXperius, Ezer Group, Infinity Communications</t>
  </si>
  <si>
    <t xml:space="preserve">Durham area</t>
  </si>
  <si>
    <t xml:space="preserve">Software / telecom / security-product companies, not MSPs</t>
  </si>
  <si>
    <t xml:space="preserve">National (Nautic Partners roll-up)</t>
  </si>
  <si>
    <t xml:space="preserve">National roll-up; NC pages are SEO. Note: active BUYER in this market</t>
  </si>
  <si>
    <t xml:space="preserve">IT Solutions, Inc.</t>
  </si>
  <si>
    <t xml:space="preserve">PA HQ; Raleigh regional office</t>
  </si>
  <si>
    <t xml:space="preserve">National PE-backed firm; the Dec-2025 buyer of Technology Associates</t>
  </si>
  <si>
    <t xml:space="preserve">RapidScale</t>
  </si>
  <si>
    <t xml:space="preserve">Raleigh HQ (Cox Business)</t>
  </si>
  <si>
    <t xml:space="preserve">National managed-cloud arm of Cox - not an SMB MSP target</t>
  </si>
  <si>
    <t xml:space="preserve">BCS365</t>
  </si>
  <si>
    <t xml:space="preserve">MA HQ; Durham office</t>
  </si>
  <si>
    <t xml:space="preserve">National firm; local office only</t>
  </si>
  <si>
    <t xml:space="preserve">Cortavo</t>
  </si>
  <si>
    <t xml:space="preserve">Atlanta HQ; Durham presence</t>
  </si>
  <si>
    <t xml:space="preserve">Out-of-market; self-promotional directory placements</t>
  </si>
  <si>
    <t xml:space="preserve">Atlantic.Net</t>
  </si>
  <si>
    <t xml:space="preserve">Orlando, FL</t>
  </si>
  <si>
    <t xml:space="preserve">Hosting provider, not a local MSP</t>
  </si>
  <si>
    <t xml:space="preserve">PTP - Pinnacle Technology Partners</t>
  </si>
  <si>
    <t xml:space="preserve">MA HQ; RTP office</t>
  </si>
  <si>
    <t xml:space="preserve">National life-sciences MSP; competitor to know, not a local target</t>
  </si>
  <si>
    <t xml:space="preserve">Chapel Hill pages are SEO reach</t>
  </si>
  <si>
    <t xml:space="preserve">Mindcore Technologies</t>
  </si>
  <si>
    <t xml:space="preserve">New Jersey</t>
  </si>
  <si>
    <t xml:space="preserve">Durham / Chapel Hill pages are SEO reach</t>
  </si>
  <si>
    <t xml:space="preserve">Simplex MSP</t>
  </si>
  <si>
    <t xml:space="preserve">Asheboro, NC</t>
  </si>
  <si>
    <t xml:space="preserve">Outside Triangle; Durham page is SEO reach</t>
  </si>
  <si>
    <t xml:space="preserve">Tardigrade Technology</t>
  </si>
  <si>
    <t xml:space="preserve">High Point, NC</t>
  </si>
  <si>
    <t xml:space="preserve">Outside Triangle; ~5 employees</t>
  </si>
  <si>
    <t xml:space="preserve">AT-NET Services</t>
  </si>
  <si>
    <t xml:space="preserve">Charlotte HQ; Raleigh presence thin; third-party data unreliable</t>
  </si>
  <si>
    <t xml:space="preserve">NerdsToGo (Cary)</t>
  </si>
  <si>
    <t xml:space="preserve">National repair franchise, not managed services</t>
  </si>
  <si>
    <t xml:space="preserve">Total Secure Technology / Bit by Bit / Corporate Technologies / Net at Work / FORTE / Vertilocity</t>
  </si>
  <si>
    <t xml:space="preserve">Various (national)</t>
  </si>
  <si>
    <t xml:space="preserve">Clutch 'recommended' national listings, no Triangle HQ</t>
  </si>
  <si>
    <t xml:space="preserve">Insight Global</t>
  </si>
  <si>
    <t xml:space="preserve">National</t>
  </si>
  <si>
    <t xml:space="preserve">Staffing firm, not an MSP</t>
  </si>
  <si>
    <t xml:space="preserve">Scarlett Group</t>
  </si>
  <si>
    <t xml:space="preserve">Jacksonville, FL HQ</t>
  </si>
  <si>
    <t xml:space="preserve">Kept on Target List as branch competitor only - not a local-ownership target</t>
  </si>
  <si>
    <t xml:space="preserve">Assumptions (edit the yellow cells - revenue estimates on 'Target List' recalculate)</t>
  </si>
  <si>
    <t xml:space="preserve">Current year</t>
  </si>
  <si>
    <t xml:space="preserve">Revenue per employee - low ($)</t>
  </si>
  <si>
    <t xml:space="preserve">Revenue per employee - high ($)</t>
  </si>
  <si>
    <t xml:space="preserve">Basis: standard MSP benchmark of ~$150-200K annual revenue per employee. Source: industry rule of thumb (Service Leadership / channel benchmarks); user-adjustable.</t>
  </si>
  <si>
    <t xml:space="preserve">Assumed EBITDA margin</t>
  </si>
  <si>
    <t xml:space="preserve">EBITDA multiple - low (x)</t>
  </si>
  <si>
    <t xml:space="preserve">EBITDA multiple - high (x)</t>
  </si>
  <si>
    <t xml:space="preserve">Sale-price basis: est. revenue x EBITDA margin x multiple. Small SMB-focused MSPs typically trade at ~4-7x adjusted EBITDA (equivalently ~0.6-1.1x revenue at a 15% margin); high recurring-revenue mix, low client concentration, and documented processes push toward the top of the range, owner-dependence toward the bottom. Micro shops (&lt;$1M revenue) trade lower - often 0.5-1x SDE - see the small-shops tab when present.</t>
  </si>
  <si>
    <t xml:space="preserve">HOW TO READ THIS WORKBOOK</t>
  </si>
  <si>
    <t xml:space="preserve">Tier A = prime succession-window targets: owner-operated, typically 20+ years old, founder still in charge. Tier B = established or growing firms with lower near-term sale signals. Tier C = thin data - verify before outreach. F = franchise territories. X = already acquired (competitors / valuation comps).</t>
  </si>
  <si>
    <t xml:space="preserve">'Sale signal' = High / Moderate / Low / Verify / N/A. Every signal is an INFERENCE from public facts (founding year, founder tenure, career start dates, leadership changes) - never a verified owner age or a stated intention to sell. Treat as a prioritization aid, not fact.</t>
  </si>
  <si>
    <t xml:space="preserve">'Est. rev low/high ($M)' are FORMULAS: employee band x revenue-per-employee assumptions above. Where a third-party estimate exists (ZoomInfo, Kona Equity) it is shown in its own column - those are algorithmic estimates, not filings, and are sometimes demonstrably wrong (flagged in Notes).</t>
  </si>
  <si>
    <t xml:space="preserve">'Est. sale price low/high ($M)' are FORMULAS: est. revenue x assumed EBITDA margin x EBITDA multiple (assumptions above). These are screening-level figures only - a real valuation requires actual financials, recurring-revenue mix, and client concentration. The low uses rev-low x 4x, the high rev-high x 7x, so the range is deliberately wide.</t>
  </si>
  <si>
    <t xml:space="preserve">Employee counts come from LinkedIn-derived aggregators (ZoomInfo, LeadIQ, Crustdata, Tracxn), directory bands (Jumpfactor, DesignRush, InfoMSP), company sites, and press. They lag reality; verify via LinkedIn and direct contact before valuation work.</t>
  </si>
  <si>
    <t xml:space="preserve">MARKET SNAPSHOT (Triangle, Aug 2026)</t>
  </si>
  <si>
    <t xml:space="preserve">~400-600 IT-support firms operate in the Raleigh metro (most are micro/solo - this list filters to real MSPs of roughly 5+ staff).</t>
  </si>
  <si>
    <t xml:space="preserve">Managed IT pricing runs $105-190/user/month standard, $150-285/user/month for regulated work (HIPAA/CMMC).</t>
  </si>
  <si>
    <t xml:space="preserve">MSP M&amp;A is hot: ~466 North American deals in 2025, +20% YoY. Six-plus Triangle exits since 2019 (see 'Precedent Deals'). PE roll-ups are actively hunting here - you are bidding against them, but their appetite also validates the thesis.</t>
  </si>
  <si>
    <t xml:space="preserve">Strongest aging-founder profiles on current data: Computerbilities, ITSco, CSP Inc., RCOR, Aggie Technologies, Avaria Networks, Benchmark, plus TenPlus / Cii / ATCOM pending ownership verification.</t>
  </si>
  <si>
    <t xml:space="preserve">SUGGESTED NEXT STEPS</t>
  </si>
  <si>
    <t xml:space="preserve">1. Verify ownership and officer names via NC Secretary of State business search (free) for every Tier A row.</t>
  </si>
  <si>
    <t xml:space="preserve">2. Pull LinkedIn profiles for named owners to firm up career-stage estimates (graduation years are the best public age proxy).</t>
  </si>
  <si>
    <t xml:space="preserve">3. Cross-check headcounts against LinkedIn company pages; drop anything confirmed under ~5 FTE.</t>
  </si>
  <si>
    <t xml:space="preserve">4. For acquisition outreach: owners of 20-30-year-old MSPs respond best to direct, discreet letters; consider a buy-side broker familiar with MSP multiples (typically ~4-8x EBITDA, 1-1.5x recurring revenue for quality books).</t>
  </si>
  <si>
    <t xml:space="preserve">5. Rows marked 'Verify' in the Sale-signal column are missing ownership data, not necessarily poor targets - several (TenPlus, Cii, ATCOM) are among the oldest firms in the market.</t>
  </si>
  <si>
    <t xml:space="preserve">DATA SOURCES</t>
  </si>
  <si>
    <t xml:space="preserve">Company websites and about/team pages; LinkedIn-derived aggregators (ZoomInfo, LeadIQ, RocketReach, Crustdata, Tracxn, Datanyze); directories (Clutch, UpCity, DesignRush, Jumpfactor, Expertise.com, InfoMSP, mspdatabase.com, Cloudtango, ThreeBestRated); press releases (PRWeb, StreetInsider, franchisor news); BBB; NC business-registration records; Inc. 5000 profiles. Collected 2026-08-07.</t>
  </si>
  <si>
    <t xml:space="preserve">Clutch, UpCity, The Manifest, TechBehemoths and Cloudtango block automated access - their data came from search snippets and is thinner.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</si>
</sst>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0.0"/>
    <numFmt numFmtId="167" formatCode="\$#,##0"/>
    <numFmt numFmtId="168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u val="single"/>
      <sz val="10"/>
      <color rgb="FF0563C1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E2EFDA"/>
        <bgColor rgb="FFC6EFCE"/>
      </patternFill>
    </fill>
    <fill>
      <patternFill patternType="solid">
        <fgColor rgb="FFFCE4EC"/>
        <bgColor rgb="FFFFF2CC"/>
      </patternFill>
    </fill>
    <fill>
      <patternFill patternType="solid">
        <fgColor rgb="FFFFF2CC"/>
        <bgColor rgb="FFFCE4EC"/>
      </patternFill>
    </fill>
    <fill>
      <patternFill patternType="solid">
        <fgColor rgb="FFC6EFCE"/>
        <bgColor rgb="FFE2EFDA"/>
      </patternFill>
    </fill>
    <fill>
      <patternFill patternType="solid">
        <fgColor rgb="FFFFEB9C"/>
        <bgColor rgb="FFFFF2CC"/>
      </patternFill>
    </fill>
    <fill>
      <patternFill patternType="solid">
        <fgColor rgb="FFFFC7CE"/>
        <bgColor rgb="FFFCE4EC"/>
      </patternFill>
    </fill>
    <fill>
      <patternFill patternType="solid">
        <fgColor rgb="FFD9D9D9"/>
        <bgColor rgb="FFE2EFDA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3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4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5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0" fillId="5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0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7" fontId="10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8" fontId="10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10" fillId="1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2">
    <dxf>
      <fill>
        <patternFill patternType="solid">
          <fgColor rgb="FF1F3864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FFC7CE"/>
          <bgColor rgb="FF000000"/>
        </patternFill>
      </fill>
    </dxf>
    <dxf>
      <fill>
        <patternFill patternType="solid">
          <fgColor rgb="FFFFEB9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2EFDA"/>
      <rgbColor rgb="FF660066"/>
      <rgbColor rgb="FFFF8080"/>
      <rgbColor rgb="FF0563C1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CE4EC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V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0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8"/>
    <col collapsed="false" customWidth="true" hidden="false" outlineLevel="0" max="6" min="6" style="0" width="5"/>
    <col collapsed="false" customWidth="true" hidden="false" outlineLevel="0" max="8" min="7" style="0" width="8"/>
    <col collapsed="false" customWidth="true" hidden="false" outlineLevel="0" max="9" min="9" style="0" width="26"/>
    <col collapsed="false" customWidth="true" hidden="false" outlineLevel="0" max="11" min="10" style="0" width="10"/>
    <col collapsed="false" customWidth="true" hidden="false" outlineLevel="0" max="13" min="12" style="0" width="11"/>
    <col collapsed="false" customWidth="true" hidden="false" outlineLevel="0" max="14" min="14" style="0" width="22"/>
    <col collapsed="false" customWidth="true" hidden="false" outlineLevel="0" max="15" min="15" style="0" width="38"/>
    <col collapsed="false" customWidth="true" hidden="false" outlineLevel="0" max="16" min="16" style="0" width="36"/>
    <col collapsed="false" customWidth="true" hidden="false" outlineLevel="0" max="17" min="17" style="0" width="9"/>
    <col collapsed="false" customWidth="true" hidden="false" outlineLevel="0" max="18" min="18" style="0" width="46"/>
    <col collapsed="false" customWidth="true" hidden="false" outlineLevel="0" max="19" min="19" style="0" width="26"/>
    <col collapsed="false" customWidth="true" hidden="false" outlineLevel="0" max="20" min="20" style="0" width="44"/>
    <col collapsed="false" customWidth="true" hidden="false" outlineLevel="0" max="21" min="21" style="0" width="16"/>
    <col collapsed="false" customWidth="true" hidden="false" outlineLevel="0" max="22" min="22" style="0" width="34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customFormat="false" ht="28.35" hidden="false" customHeight="false" outlineLevel="0" collapsed="false">
      <c r="A2" s="2" t="s">
        <v>22</v>
      </c>
      <c r="B2" s="2" t="s">
        <v>23</v>
      </c>
      <c r="C2" s="3" t="str">
        <f aca="false">HYPERLINK("https://www.computerbilities.com","www.computerbilities.com")</f>
        <v>www.computerbilities.com</v>
      </c>
      <c r="D2" s="2" t="s">
        <v>24</v>
      </c>
      <c r="E2" s="4" t="n">
        <v>1995</v>
      </c>
      <c r="F2" s="4" t="n">
        <f aca="false">IF(E2="","",Method!$B$2-E2)</f>
        <v>31</v>
      </c>
      <c r="G2" s="4" t="n">
        <v>12</v>
      </c>
      <c r="H2" s="4" t="n">
        <v>16</v>
      </c>
      <c r="I2" s="5" t="s">
        <v>25</v>
      </c>
      <c r="J2" s="6" t="n">
        <f aca="false">IF(G2="","",ROUND(G2*Method!$B$3/1000000,1))</f>
        <v>1.8</v>
      </c>
      <c r="K2" s="6" t="n">
        <f aca="false">IF(H2="","",ROUND(H2*Method!$B$4/1000000,1))</f>
        <v>3.2</v>
      </c>
      <c r="L2" s="6" t="n">
        <f aca="false">IF(J2="","",ROUND(J2*Method!$B$6*Method!$B$7,1))</f>
        <v>1.1</v>
      </c>
      <c r="M2" s="6" t="n">
        <f aca="false">IF(K2="","",ROUND(K2*Method!$B$6*Method!$B$8,1))</f>
        <v>3.4</v>
      </c>
      <c r="N2" s="2"/>
      <c r="O2" s="5" t="s">
        <v>26</v>
      </c>
      <c r="P2" s="5" t="s">
        <v>27</v>
      </c>
      <c r="Q2" s="2" t="s">
        <v>28</v>
      </c>
      <c r="R2" s="5" t="s">
        <v>29</v>
      </c>
      <c r="S2" s="5" t="s">
        <v>30</v>
      </c>
      <c r="T2" s="5" t="s">
        <v>31</v>
      </c>
      <c r="U2" s="2" t="s">
        <v>32</v>
      </c>
      <c r="V2" s="5"/>
    </row>
    <row r="3" customFormat="false" ht="28.35" hidden="false" customHeight="false" outlineLevel="0" collapsed="false">
      <c r="A3" s="2" t="s">
        <v>22</v>
      </c>
      <c r="B3" s="2" t="s">
        <v>33</v>
      </c>
      <c r="C3" s="3" t="str">
        <f aca="false">HYPERLINK("https://www.itsco.com","www.itsco.com")</f>
        <v>www.itsco.com</v>
      </c>
      <c r="D3" s="2" t="s">
        <v>34</v>
      </c>
      <c r="E3" s="4" t="n">
        <v>1996</v>
      </c>
      <c r="F3" s="4" t="n">
        <f aca="false">IF(E3="","",Method!$B$2-E3)</f>
        <v>30</v>
      </c>
      <c r="G3" s="4" t="n">
        <v>29</v>
      </c>
      <c r="H3" s="4" t="n">
        <v>60</v>
      </c>
      <c r="I3" s="5" t="s">
        <v>35</v>
      </c>
      <c r="J3" s="6" t="n">
        <f aca="false">IF(G3="","",ROUND(G3*Method!$B$3/1000000,1))</f>
        <v>4.4</v>
      </c>
      <c r="K3" s="6" t="n">
        <f aca="false">IF(H3="","",ROUND(H3*Method!$B$4/1000000,1))</f>
        <v>12</v>
      </c>
      <c r="L3" s="6" t="n">
        <f aca="false">IF(J3="","",ROUND(J3*Method!$B$6*Method!$B$7,1))</f>
        <v>2.6</v>
      </c>
      <c r="M3" s="6" t="n">
        <f aca="false">IF(K3="","",ROUND(K3*Method!$B$6*Method!$B$8,1))</f>
        <v>12.6</v>
      </c>
      <c r="N3" s="2" t="s">
        <v>36</v>
      </c>
      <c r="O3" s="5" t="s">
        <v>26</v>
      </c>
      <c r="P3" s="5" t="s">
        <v>37</v>
      </c>
      <c r="Q3" s="2" t="s">
        <v>28</v>
      </c>
      <c r="R3" s="5" t="s">
        <v>38</v>
      </c>
      <c r="S3" s="5" t="s">
        <v>39</v>
      </c>
      <c r="T3" s="5" t="s">
        <v>40</v>
      </c>
      <c r="U3" s="2"/>
      <c r="V3" s="5" t="s">
        <v>41</v>
      </c>
    </row>
    <row r="4" customFormat="false" ht="28.35" hidden="false" customHeight="false" outlineLevel="0" collapsed="false">
      <c r="A4" s="2" t="s">
        <v>22</v>
      </c>
      <c r="B4" s="2" t="s">
        <v>42</v>
      </c>
      <c r="C4" s="3" t="str">
        <f aca="false">HYPERLINK("https://www.cspinc.com","www.cspinc.com")</f>
        <v>www.cspinc.com</v>
      </c>
      <c r="D4" s="2" t="s">
        <v>43</v>
      </c>
      <c r="E4" s="4" t="n">
        <v>1995</v>
      </c>
      <c r="F4" s="4" t="n">
        <f aca="false">IF(E4="","",Method!$B$2-E4)</f>
        <v>31</v>
      </c>
      <c r="G4" s="4" t="n">
        <v>35</v>
      </c>
      <c r="H4" s="4" t="n">
        <v>45</v>
      </c>
      <c r="I4" s="5" t="s">
        <v>44</v>
      </c>
      <c r="J4" s="6" t="n">
        <f aca="false">IF(G4="","",ROUND(G4*Method!$B$3/1000000,1))</f>
        <v>5.3</v>
      </c>
      <c r="K4" s="6" t="n">
        <f aca="false">IF(H4="","",ROUND(H4*Method!$B$4/1000000,1))</f>
        <v>9</v>
      </c>
      <c r="L4" s="6" t="n">
        <f aca="false">IF(J4="","",ROUND(J4*Method!$B$6*Method!$B$7,1))</f>
        <v>3.2</v>
      </c>
      <c r="M4" s="6" t="n">
        <f aca="false">IF(K4="","",ROUND(K4*Method!$B$6*Method!$B$8,1))</f>
        <v>9.5</v>
      </c>
      <c r="N4" s="2"/>
      <c r="O4" s="5" t="s">
        <v>45</v>
      </c>
      <c r="P4" s="5" t="s">
        <v>46</v>
      </c>
      <c r="Q4" s="2" t="s">
        <v>28</v>
      </c>
      <c r="R4" s="5" t="s">
        <v>47</v>
      </c>
      <c r="S4" s="5"/>
      <c r="T4" s="5" t="s">
        <v>48</v>
      </c>
      <c r="U4" s="2"/>
      <c r="V4" s="5"/>
    </row>
    <row r="5" customFormat="false" ht="28.35" hidden="false" customHeight="false" outlineLevel="0" collapsed="false">
      <c r="A5" s="2" t="s">
        <v>22</v>
      </c>
      <c r="B5" s="2" t="s">
        <v>49</v>
      </c>
      <c r="C5" s="3" t="str">
        <f aca="false">HYPERLINK("https://www.tenplus.com","www.tenplus.com")</f>
        <v>www.tenplus.com</v>
      </c>
      <c r="D5" s="2" t="s">
        <v>43</v>
      </c>
      <c r="E5" s="4" t="n">
        <v>1989</v>
      </c>
      <c r="F5" s="4" t="n">
        <f aca="false">IF(E5="","",Method!$B$2-E5)</f>
        <v>37</v>
      </c>
      <c r="G5" s="4" t="n">
        <v>20</v>
      </c>
      <c r="H5" s="4" t="n">
        <v>60</v>
      </c>
      <c r="I5" s="5" t="s">
        <v>50</v>
      </c>
      <c r="J5" s="6" t="n">
        <f aca="false">IF(G5="","",ROUND(G5*Method!$B$3/1000000,1))</f>
        <v>3</v>
      </c>
      <c r="K5" s="6" t="n">
        <f aca="false">IF(H5="","",ROUND(H5*Method!$B$4/1000000,1))</f>
        <v>12</v>
      </c>
      <c r="L5" s="6" t="n">
        <f aca="false">IF(J5="","",ROUND(J5*Method!$B$6*Method!$B$7,1))</f>
        <v>1.8</v>
      </c>
      <c r="M5" s="6" t="n">
        <f aca="false">IF(K5="","",ROUND(K5*Method!$B$6*Method!$B$8,1))</f>
        <v>12.6</v>
      </c>
      <c r="N5" s="2"/>
      <c r="O5" s="5" t="s">
        <v>51</v>
      </c>
      <c r="P5" s="5" t="s">
        <v>52</v>
      </c>
      <c r="Q5" s="2" t="s">
        <v>53</v>
      </c>
      <c r="R5" s="5" t="s">
        <v>54</v>
      </c>
      <c r="S5" s="5"/>
      <c r="T5" s="5" t="s">
        <v>55</v>
      </c>
      <c r="U5" s="2" t="s">
        <v>56</v>
      </c>
      <c r="V5" s="5" t="s">
        <v>57</v>
      </c>
    </row>
    <row r="6" customFormat="false" ht="28.35" hidden="false" customHeight="false" outlineLevel="0" collapsed="false">
      <c r="A6" s="2" t="s">
        <v>22</v>
      </c>
      <c r="B6" s="2" t="s">
        <v>58</v>
      </c>
      <c r="C6" s="3" t="str">
        <f aca="false">HYPERLINK("https://cii.cloud","cii.cloud")</f>
        <v>cii.cloud</v>
      </c>
      <c r="D6" s="2" t="s">
        <v>59</v>
      </c>
      <c r="E6" s="4" t="n">
        <v>1981</v>
      </c>
      <c r="F6" s="4" t="n">
        <f aca="false">IF(E6="","",Method!$B$2-E6)</f>
        <v>45</v>
      </c>
      <c r="G6" s="4" t="n">
        <v>10</v>
      </c>
      <c r="H6" s="4" t="n">
        <v>49</v>
      </c>
      <c r="I6" s="5" t="s">
        <v>60</v>
      </c>
      <c r="J6" s="6" t="n">
        <f aca="false">IF(G6="","",ROUND(G6*Method!$B$3/1000000,1))</f>
        <v>1.5</v>
      </c>
      <c r="K6" s="6" t="n">
        <f aca="false">IF(H6="","",ROUND(H6*Method!$B$4/1000000,1))</f>
        <v>9.8</v>
      </c>
      <c r="L6" s="6" t="n">
        <f aca="false">IF(J6="","",ROUND(J6*Method!$B$6*Method!$B$7,1))</f>
        <v>0.9</v>
      </c>
      <c r="M6" s="6" t="n">
        <f aca="false">IF(K6="","",ROUND(K6*Method!$B$6*Method!$B$8,1))</f>
        <v>10.3</v>
      </c>
      <c r="N6" s="2"/>
      <c r="O6" s="5" t="s">
        <v>51</v>
      </c>
      <c r="P6" s="5" t="s">
        <v>52</v>
      </c>
      <c r="Q6" s="2" t="s">
        <v>53</v>
      </c>
      <c r="R6" s="5" t="s">
        <v>61</v>
      </c>
      <c r="S6" s="5"/>
      <c r="T6" s="5" t="s">
        <v>62</v>
      </c>
      <c r="U6" s="2" t="s">
        <v>63</v>
      </c>
      <c r="V6" s="5"/>
    </row>
    <row r="7" customFormat="false" ht="28.35" hidden="false" customHeight="false" outlineLevel="0" collapsed="false">
      <c r="A7" s="2" t="s">
        <v>22</v>
      </c>
      <c r="B7" s="2" t="s">
        <v>64</v>
      </c>
      <c r="C7" s="3" t="str">
        <f aca="false">HYPERLINK("https://atcombts.com","atcombts.com")</f>
        <v>atcombts.com</v>
      </c>
      <c r="D7" s="2" t="s">
        <v>65</v>
      </c>
      <c r="E7" s="4" t="n">
        <v>1979</v>
      </c>
      <c r="F7" s="4" t="n">
        <f aca="false">IF(E7="","",Method!$B$2-E7)</f>
        <v>47</v>
      </c>
      <c r="G7" s="4" t="n">
        <v>80</v>
      </c>
      <c r="H7" s="4" t="n">
        <v>100</v>
      </c>
      <c r="I7" s="5" t="s">
        <v>66</v>
      </c>
      <c r="J7" s="6" t="n">
        <f aca="false">IF(G7="","",ROUND(G7*Method!$B$3/1000000,1))</f>
        <v>12</v>
      </c>
      <c r="K7" s="6" t="n">
        <f aca="false">IF(H7="","",ROUND(H7*Method!$B$4/1000000,1))</f>
        <v>20</v>
      </c>
      <c r="L7" s="6" t="n">
        <f aca="false">IF(J7="","",ROUND(J7*Method!$B$6*Method!$B$7,1))</f>
        <v>7.2</v>
      </c>
      <c r="M7" s="6" t="n">
        <f aca="false">IF(K7="","",ROUND(K7*Method!$B$6*Method!$B$8,1))</f>
        <v>21</v>
      </c>
      <c r="N7" s="2"/>
      <c r="O7" s="5" t="s">
        <v>67</v>
      </c>
      <c r="P7" s="5" t="s">
        <v>68</v>
      </c>
      <c r="Q7" s="2" t="s">
        <v>69</v>
      </c>
      <c r="R7" s="5" t="s">
        <v>70</v>
      </c>
      <c r="S7" s="5"/>
      <c r="T7" s="5" t="s">
        <v>71</v>
      </c>
      <c r="U7" s="2"/>
      <c r="V7" s="5" t="s">
        <v>72</v>
      </c>
    </row>
    <row r="8" customFormat="false" ht="28.35" hidden="false" customHeight="false" outlineLevel="0" collapsed="false">
      <c r="A8" s="2" t="s">
        <v>22</v>
      </c>
      <c r="B8" s="2" t="s">
        <v>73</v>
      </c>
      <c r="C8" s="3" t="str">
        <f aca="false">HYPERLINK("https://benchmarkns.com","benchmarkns.com")</f>
        <v>benchmarkns.com</v>
      </c>
      <c r="D8" s="2" t="s">
        <v>74</v>
      </c>
      <c r="E8" s="4" t="n">
        <v>1992</v>
      </c>
      <c r="F8" s="4" t="n">
        <f aca="false">IF(E8="","",Method!$B$2-E8)</f>
        <v>34</v>
      </c>
      <c r="G8" s="4" t="n">
        <v>10</v>
      </c>
      <c r="H8" s="4" t="n">
        <v>20</v>
      </c>
      <c r="I8" s="5" t="s">
        <v>75</v>
      </c>
      <c r="J8" s="6" t="n">
        <f aca="false">IF(G8="","",ROUND(G8*Method!$B$3/1000000,1))</f>
        <v>1.5</v>
      </c>
      <c r="K8" s="6" t="n">
        <f aca="false">IF(H8="","",ROUND(H8*Method!$B$4/1000000,1))</f>
        <v>4</v>
      </c>
      <c r="L8" s="6" t="n">
        <f aca="false">IF(J8="","",ROUND(J8*Method!$B$6*Method!$B$7,1))</f>
        <v>0.9</v>
      </c>
      <c r="M8" s="6" t="n">
        <f aca="false">IF(K8="","",ROUND(K8*Method!$B$6*Method!$B$8,1))</f>
        <v>4.2</v>
      </c>
      <c r="N8" s="2"/>
      <c r="O8" s="5" t="s">
        <v>76</v>
      </c>
      <c r="P8" s="5" t="s">
        <v>77</v>
      </c>
      <c r="Q8" s="2" t="s">
        <v>69</v>
      </c>
      <c r="R8" s="5" t="s">
        <v>78</v>
      </c>
      <c r="S8" s="5"/>
      <c r="T8" s="5" t="s">
        <v>79</v>
      </c>
      <c r="U8" s="2"/>
      <c r="V8" s="5"/>
    </row>
    <row r="9" customFormat="false" ht="28.35" hidden="false" customHeight="false" outlineLevel="0" collapsed="false">
      <c r="A9" s="2" t="s">
        <v>22</v>
      </c>
      <c r="B9" s="2" t="s">
        <v>80</v>
      </c>
      <c r="C9" s="3" t="str">
        <f aca="false">HYPERLINK("https://rcor.com","rcor.com")</f>
        <v>rcor.com</v>
      </c>
      <c r="D9" s="2" t="s">
        <v>81</v>
      </c>
      <c r="E9" s="4" t="n">
        <v>1992</v>
      </c>
      <c r="F9" s="4" t="n">
        <f aca="false">IF(E9="","",Method!$B$2-E9)</f>
        <v>34</v>
      </c>
      <c r="G9" s="4" t="n">
        <v>4</v>
      </c>
      <c r="H9" s="4" t="n">
        <v>10</v>
      </c>
      <c r="I9" s="5" t="s">
        <v>82</v>
      </c>
      <c r="J9" s="6" t="n">
        <f aca="false">IF(G9="","",ROUND(G9*Method!$B$3/1000000,1))</f>
        <v>0.6</v>
      </c>
      <c r="K9" s="6" t="n">
        <f aca="false">IF(H9="","",ROUND(H9*Method!$B$4/1000000,1))</f>
        <v>2</v>
      </c>
      <c r="L9" s="6" t="n">
        <f aca="false">IF(J9="","",ROUND(J9*Method!$B$6*Method!$B$7,1))</f>
        <v>0.4</v>
      </c>
      <c r="M9" s="6" t="n">
        <f aca="false">IF(K9="","",ROUND(K9*Method!$B$6*Method!$B$8,1))</f>
        <v>2.1</v>
      </c>
      <c r="N9" s="2"/>
      <c r="O9" s="5" t="s">
        <v>83</v>
      </c>
      <c r="P9" s="5" t="s">
        <v>84</v>
      </c>
      <c r="Q9" s="2" t="s">
        <v>28</v>
      </c>
      <c r="R9" s="5" t="s">
        <v>85</v>
      </c>
      <c r="S9" s="5"/>
      <c r="T9" s="5" t="s">
        <v>86</v>
      </c>
      <c r="U9" s="2"/>
      <c r="V9" s="5" t="s">
        <v>87</v>
      </c>
    </row>
    <row r="10" customFormat="false" ht="28.35" hidden="false" customHeight="false" outlineLevel="0" collapsed="false">
      <c r="A10" s="2" t="s">
        <v>22</v>
      </c>
      <c r="B10" s="2" t="s">
        <v>88</v>
      </c>
      <c r="C10" s="3" t="str">
        <f aca="false">HYPERLINK("https://thinktechadvisors.com","thinktechadvisors.com")</f>
        <v>thinktechadvisors.com</v>
      </c>
      <c r="D10" s="2" t="s">
        <v>43</v>
      </c>
      <c r="E10" s="4" t="n">
        <v>1999</v>
      </c>
      <c r="F10" s="4" t="n">
        <f aca="false">IF(E10="","",Method!$B$2-E10)</f>
        <v>27</v>
      </c>
      <c r="G10" s="4" t="n">
        <v>10</v>
      </c>
      <c r="H10" s="4" t="n">
        <v>25</v>
      </c>
      <c r="I10" s="5" t="s">
        <v>60</v>
      </c>
      <c r="J10" s="6" t="n">
        <f aca="false">IF(G10="","",ROUND(G10*Method!$B$3/1000000,1))</f>
        <v>1.5</v>
      </c>
      <c r="K10" s="6" t="n">
        <f aca="false">IF(H10="","",ROUND(H10*Method!$B$4/1000000,1))</f>
        <v>5</v>
      </c>
      <c r="L10" s="6" t="n">
        <f aca="false">IF(J10="","",ROUND(J10*Method!$B$6*Method!$B$7,1))</f>
        <v>0.9</v>
      </c>
      <c r="M10" s="6" t="n">
        <f aca="false">IF(K10="","",ROUND(K10*Method!$B$6*Method!$B$8,1))</f>
        <v>5.3</v>
      </c>
      <c r="N10" s="2"/>
      <c r="O10" s="5" t="s">
        <v>83</v>
      </c>
      <c r="P10" s="5" t="s">
        <v>89</v>
      </c>
      <c r="Q10" s="2" t="s">
        <v>69</v>
      </c>
      <c r="R10" s="5" t="s">
        <v>90</v>
      </c>
      <c r="S10" s="5" t="s">
        <v>91</v>
      </c>
      <c r="T10" s="5" t="s">
        <v>92</v>
      </c>
      <c r="U10" s="2" t="s">
        <v>93</v>
      </c>
      <c r="V10" s="5"/>
    </row>
    <row r="11" customFormat="false" ht="15" hidden="false" customHeight="false" outlineLevel="0" collapsed="false">
      <c r="A11" s="2" t="s">
        <v>22</v>
      </c>
      <c r="B11" s="2" t="s">
        <v>94</v>
      </c>
      <c r="C11" s="3" t="str">
        <f aca="false">HYPERLINK("https://avarianetworks.com","avarianetworks.com")</f>
        <v>avarianetworks.com</v>
      </c>
      <c r="D11" s="2" t="s">
        <v>43</v>
      </c>
      <c r="E11" s="4" t="n">
        <v>1993</v>
      </c>
      <c r="F11" s="4" t="n">
        <f aca="false">IF(E11="","",Method!$B$2-E11)</f>
        <v>33</v>
      </c>
      <c r="G11" s="4" t="n">
        <v>8</v>
      </c>
      <c r="H11" s="4" t="n">
        <v>11</v>
      </c>
      <c r="I11" s="5" t="s">
        <v>95</v>
      </c>
      <c r="J11" s="6" t="n">
        <f aca="false">IF(G11="","",ROUND(G11*Method!$B$3/1000000,1))</f>
        <v>1.2</v>
      </c>
      <c r="K11" s="6" t="n">
        <f aca="false">IF(H11="","",ROUND(H11*Method!$B$4/1000000,1))</f>
        <v>2.2</v>
      </c>
      <c r="L11" s="6" t="n">
        <f aca="false">IF(J11="","",ROUND(J11*Method!$B$6*Method!$B$7,1))</f>
        <v>0.7</v>
      </c>
      <c r="M11" s="6" t="n">
        <f aca="false">IF(K11="","",ROUND(K11*Method!$B$6*Method!$B$8,1))</f>
        <v>2.3</v>
      </c>
      <c r="N11" s="2"/>
      <c r="O11" s="5" t="s">
        <v>96</v>
      </c>
      <c r="P11" s="5" t="s">
        <v>52</v>
      </c>
      <c r="Q11" s="2" t="s">
        <v>28</v>
      </c>
      <c r="R11" s="5" t="s">
        <v>97</v>
      </c>
      <c r="S11" s="5"/>
      <c r="T11" s="5" t="s">
        <v>98</v>
      </c>
      <c r="U11" s="2"/>
      <c r="V11" s="5" t="s">
        <v>99</v>
      </c>
    </row>
    <row r="12" customFormat="false" ht="28.35" hidden="false" customHeight="false" outlineLevel="0" collapsed="false">
      <c r="A12" s="2" t="s">
        <v>22</v>
      </c>
      <c r="B12" s="2" t="s">
        <v>100</v>
      </c>
      <c r="C12" s="3" t="str">
        <f aca="false">HYPERLINK("https://securena.com","securena.com")</f>
        <v>securena.com</v>
      </c>
      <c r="D12" s="2" t="s">
        <v>74</v>
      </c>
      <c r="E12" s="4" t="n">
        <v>2005</v>
      </c>
      <c r="F12" s="4" t="n">
        <f aca="false">IF(E12="","",Method!$B$2-E12)</f>
        <v>21</v>
      </c>
      <c r="G12" s="4" t="n">
        <v>12</v>
      </c>
      <c r="H12" s="4" t="n">
        <v>20</v>
      </c>
      <c r="I12" s="5" t="s">
        <v>101</v>
      </c>
      <c r="J12" s="6" t="n">
        <f aca="false">IF(G12="","",ROUND(G12*Method!$B$3/1000000,1))</f>
        <v>1.8</v>
      </c>
      <c r="K12" s="6" t="n">
        <f aca="false">IF(H12="","",ROUND(H12*Method!$B$4/1000000,1))</f>
        <v>4</v>
      </c>
      <c r="L12" s="6" t="n">
        <f aca="false">IF(J12="","",ROUND(J12*Method!$B$6*Method!$B$7,1))</f>
        <v>1.1</v>
      </c>
      <c r="M12" s="6" t="n">
        <f aca="false">IF(K12="","",ROUND(K12*Method!$B$6*Method!$B$8,1))</f>
        <v>4.2</v>
      </c>
      <c r="N12" s="2"/>
      <c r="O12" s="5" t="s">
        <v>102</v>
      </c>
      <c r="P12" s="5" t="s">
        <v>103</v>
      </c>
      <c r="Q12" s="2" t="s">
        <v>69</v>
      </c>
      <c r="R12" s="5" t="s">
        <v>104</v>
      </c>
      <c r="S12" s="5" t="s">
        <v>105</v>
      </c>
      <c r="T12" s="5" t="s">
        <v>106</v>
      </c>
      <c r="U12" s="2"/>
      <c r="V12" s="5"/>
    </row>
    <row r="13" customFormat="false" ht="28.35" hidden="false" customHeight="false" outlineLevel="0" collapsed="false">
      <c r="A13" s="7" t="s">
        <v>107</v>
      </c>
      <c r="B13" s="7" t="s">
        <v>108</v>
      </c>
      <c r="C13" s="8" t="str">
        <f aca="false">HYPERLINK("https://aggietechnc.com","aggietechnc.com")</f>
        <v>aggietechnc.com</v>
      </c>
      <c r="D13" s="7" t="s">
        <v>74</v>
      </c>
      <c r="E13" s="9" t="n">
        <v>2004</v>
      </c>
      <c r="F13" s="9" t="n">
        <f aca="false">IF(E13="","",Method!$B$2-E13)</f>
        <v>22</v>
      </c>
      <c r="G13" s="9" t="n">
        <v>3</v>
      </c>
      <c r="H13" s="9" t="n">
        <v>10</v>
      </c>
      <c r="I13" s="10" t="s">
        <v>109</v>
      </c>
      <c r="J13" s="11" t="n">
        <f aca="false">IF(G13="","",ROUND(G13*Method!$B$3/1000000,1))</f>
        <v>0.5</v>
      </c>
      <c r="K13" s="11" t="n">
        <f aca="false">IF(H13="","",ROUND(H13*Method!$B$4/1000000,1))</f>
        <v>2</v>
      </c>
      <c r="L13" s="11" t="n">
        <f aca="false">IF(J13="","",ROUND(J13*Method!$B$6*Method!$B$7,1))</f>
        <v>0.3</v>
      </c>
      <c r="M13" s="11" t="n">
        <f aca="false">IF(K13="","",ROUND(K13*Method!$B$6*Method!$B$8,1))</f>
        <v>2.1</v>
      </c>
      <c r="N13" s="7"/>
      <c r="O13" s="10" t="s">
        <v>110</v>
      </c>
      <c r="P13" s="10" t="s">
        <v>111</v>
      </c>
      <c r="Q13" s="7" t="s">
        <v>112</v>
      </c>
      <c r="R13" s="10" t="s">
        <v>113</v>
      </c>
      <c r="S13" s="10"/>
      <c r="T13" s="10" t="s">
        <v>114</v>
      </c>
      <c r="U13" s="7"/>
      <c r="V13" s="10" t="s">
        <v>115</v>
      </c>
    </row>
    <row r="14" customFormat="false" ht="28.35" hidden="false" customHeight="false" outlineLevel="0" collapsed="false">
      <c r="A14" s="2" t="s">
        <v>22</v>
      </c>
      <c r="B14" s="2" t="s">
        <v>116</v>
      </c>
      <c r="C14" s="3" t="str">
        <f aca="false">HYPERLINK("https://itpractice.com","itpractice.com")</f>
        <v>itpractice.com</v>
      </c>
      <c r="D14" s="2" t="s">
        <v>117</v>
      </c>
      <c r="E14" s="4" t="n">
        <v>1996</v>
      </c>
      <c r="F14" s="4" t="n">
        <f aca="false">IF(E14="","",Method!$B$2-E14)</f>
        <v>30</v>
      </c>
      <c r="G14" s="4" t="n">
        <v>5</v>
      </c>
      <c r="H14" s="4" t="n">
        <v>15</v>
      </c>
      <c r="I14" s="5" t="s">
        <v>118</v>
      </c>
      <c r="J14" s="6" t="n">
        <f aca="false">IF(G14="","",ROUND(G14*Method!$B$3/1000000,1))</f>
        <v>0.8</v>
      </c>
      <c r="K14" s="6" t="n">
        <f aca="false">IF(H14="","",ROUND(H14*Method!$B$4/1000000,1))</f>
        <v>3</v>
      </c>
      <c r="L14" s="6" t="n">
        <f aca="false">IF(J14="","",ROUND(J14*Method!$B$6*Method!$B$7,1))</f>
        <v>0.5</v>
      </c>
      <c r="M14" s="6" t="n">
        <f aca="false">IF(K14="","",ROUND(K14*Method!$B$6*Method!$B$8,1))</f>
        <v>3.2</v>
      </c>
      <c r="N14" s="2" t="s">
        <v>119</v>
      </c>
      <c r="O14" s="5" t="s">
        <v>83</v>
      </c>
      <c r="P14" s="5" t="s">
        <v>120</v>
      </c>
      <c r="Q14" s="2" t="s">
        <v>28</v>
      </c>
      <c r="R14" s="5" t="s">
        <v>121</v>
      </c>
      <c r="S14" s="5"/>
      <c r="T14" s="5" t="s">
        <v>122</v>
      </c>
      <c r="U14" s="2"/>
      <c r="V14" s="5" t="s">
        <v>123</v>
      </c>
    </row>
    <row r="15" customFormat="false" ht="28.35" hidden="false" customHeight="false" outlineLevel="0" collapsed="false">
      <c r="A15" s="12" t="s">
        <v>124</v>
      </c>
      <c r="B15" s="12" t="s">
        <v>125</v>
      </c>
      <c r="C15" s="13" t="str">
        <f aca="false">HYPERLINK("https://tridentts.com","tridentts.com")</f>
        <v>tridentts.com</v>
      </c>
      <c r="D15" s="12" t="s">
        <v>126</v>
      </c>
      <c r="E15" s="14" t="n">
        <v>2004</v>
      </c>
      <c r="F15" s="14" t="n">
        <f aca="false">IF(E15="","",Method!$B$2-E15)</f>
        <v>22</v>
      </c>
      <c r="G15" s="14" t="n">
        <v>15</v>
      </c>
      <c r="H15" s="14" t="n">
        <v>21</v>
      </c>
      <c r="I15" s="15" t="s">
        <v>127</v>
      </c>
      <c r="J15" s="16" t="n">
        <f aca="false">IF(G15="","",ROUND(G15*Method!$B$3/1000000,1))</f>
        <v>2.3</v>
      </c>
      <c r="K15" s="16" t="n">
        <f aca="false">IF(H15="","",ROUND(H15*Method!$B$4/1000000,1))</f>
        <v>4.2</v>
      </c>
      <c r="L15" s="16" t="n">
        <f aca="false">IF(J15="","",ROUND(J15*Method!$B$6*Method!$B$7,1))</f>
        <v>1.4</v>
      </c>
      <c r="M15" s="16" t="n">
        <f aca="false">IF(K15="","",ROUND(K15*Method!$B$6*Method!$B$8,1))</f>
        <v>4.4</v>
      </c>
      <c r="N15" s="12"/>
      <c r="O15" s="15" t="s">
        <v>83</v>
      </c>
      <c r="P15" s="15" t="s">
        <v>128</v>
      </c>
      <c r="Q15" s="12" t="s">
        <v>129</v>
      </c>
      <c r="R15" s="15" t="s">
        <v>130</v>
      </c>
      <c r="S15" s="15"/>
      <c r="T15" s="15" t="s">
        <v>131</v>
      </c>
      <c r="U15" s="12"/>
      <c r="V15" s="15" t="s">
        <v>132</v>
      </c>
    </row>
    <row r="16" customFormat="false" ht="28.35" hidden="false" customHeight="false" outlineLevel="0" collapsed="false">
      <c r="A16" s="12" t="s">
        <v>124</v>
      </c>
      <c r="B16" s="12" t="s">
        <v>133</v>
      </c>
      <c r="C16" s="13" t="str">
        <f aca="false">HYPERLINK("https://tbstechnow.com","tbstechnow.com")</f>
        <v>tbstechnow.com</v>
      </c>
      <c r="D16" s="12" t="s">
        <v>43</v>
      </c>
      <c r="E16" s="14" t="n">
        <v>2011</v>
      </c>
      <c r="F16" s="14" t="n">
        <f aca="false">IF(E16="","",Method!$B$2-E16)</f>
        <v>15</v>
      </c>
      <c r="G16" s="14" t="n">
        <v>10</v>
      </c>
      <c r="H16" s="14" t="n">
        <v>30</v>
      </c>
      <c r="I16" s="15" t="s">
        <v>134</v>
      </c>
      <c r="J16" s="16" t="n">
        <f aca="false">IF(G16="","",ROUND(G16*Method!$B$3/1000000,1))</f>
        <v>1.5</v>
      </c>
      <c r="K16" s="16" t="n">
        <f aca="false">IF(H16="","",ROUND(H16*Method!$B$4/1000000,1))</f>
        <v>6</v>
      </c>
      <c r="L16" s="16" t="n">
        <f aca="false">IF(J16="","",ROUND(J16*Method!$B$6*Method!$B$7,1))</f>
        <v>0.9</v>
      </c>
      <c r="M16" s="16" t="n">
        <f aca="false">IF(K16="","",ROUND(K16*Method!$B$6*Method!$B$8,1))</f>
        <v>6.3</v>
      </c>
      <c r="N16" s="12"/>
      <c r="O16" s="15" t="s">
        <v>135</v>
      </c>
      <c r="P16" s="15" t="s">
        <v>136</v>
      </c>
      <c r="Q16" s="12" t="s">
        <v>129</v>
      </c>
      <c r="R16" s="15" t="s">
        <v>137</v>
      </c>
      <c r="S16" s="15" t="s">
        <v>138</v>
      </c>
      <c r="T16" s="15" t="s">
        <v>139</v>
      </c>
      <c r="U16" s="12"/>
      <c r="V16" s="15" t="s">
        <v>140</v>
      </c>
    </row>
    <row r="17" customFormat="false" ht="28.35" hidden="false" customHeight="false" outlineLevel="0" collapsed="false">
      <c r="A17" s="2" t="s">
        <v>22</v>
      </c>
      <c r="B17" s="2" t="s">
        <v>141</v>
      </c>
      <c r="C17" s="3" t="str">
        <f aca="false">HYPERLINK("https://www.managedits.com","www.managedits.com")</f>
        <v>www.managedits.com</v>
      </c>
      <c r="D17" s="2" t="s">
        <v>43</v>
      </c>
      <c r="E17" s="4" t="n">
        <v>2001</v>
      </c>
      <c r="F17" s="4" t="n">
        <f aca="false">IF(E17="","",Method!$B$2-E17)</f>
        <v>25</v>
      </c>
      <c r="G17" s="4" t="n">
        <v>5</v>
      </c>
      <c r="H17" s="4" t="n">
        <v>15</v>
      </c>
      <c r="I17" s="5" t="s">
        <v>142</v>
      </c>
      <c r="J17" s="6" t="n">
        <f aca="false">IF(G17="","",ROUND(G17*Method!$B$3/1000000,1))</f>
        <v>0.8</v>
      </c>
      <c r="K17" s="6" t="n">
        <f aca="false">IF(H17="","",ROUND(H17*Method!$B$4/1000000,1))</f>
        <v>3</v>
      </c>
      <c r="L17" s="6" t="n">
        <f aca="false">IF(J17="","",ROUND(J17*Method!$B$6*Method!$B$7,1))</f>
        <v>0.5</v>
      </c>
      <c r="M17" s="6" t="n">
        <f aca="false">IF(K17="","",ROUND(K17*Method!$B$6*Method!$B$8,1))</f>
        <v>3.2</v>
      </c>
      <c r="N17" s="2"/>
      <c r="O17" s="5" t="s">
        <v>83</v>
      </c>
      <c r="P17" s="5" t="s">
        <v>143</v>
      </c>
      <c r="Q17" s="2" t="s">
        <v>69</v>
      </c>
      <c r="R17" s="5" t="s">
        <v>144</v>
      </c>
      <c r="S17" s="5"/>
      <c r="T17" s="5" t="s">
        <v>145</v>
      </c>
      <c r="U17" s="2" t="s">
        <v>146</v>
      </c>
      <c r="V17" s="5"/>
    </row>
    <row r="18" customFormat="false" ht="28.35" hidden="false" customHeight="false" outlineLevel="0" collapsed="false">
      <c r="A18" s="2" t="s">
        <v>22</v>
      </c>
      <c r="B18" s="2" t="s">
        <v>147</v>
      </c>
      <c r="C18" s="3" t="str">
        <f aca="false">HYPERLINK("https://www.ncmobilecomputerservices.com","www.ncmobilecomputerservices.com")</f>
        <v>www.ncmobilecomputerservices.com</v>
      </c>
      <c r="D18" s="2" t="s">
        <v>148</v>
      </c>
      <c r="E18" s="4" t="n">
        <v>2004</v>
      </c>
      <c r="F18" s="4" t="n">
        <f aca="false">IF(E18="","",Method!$B$2-E18)</f>
        <v>22</v>
      </c>
      <c r="G18" s="4" t="n">
        <v>5</v>
      </c>
      <c r="H18" s="4" t="n">
        <v>15</v>
      </c>
      <c r="I18" s="5" t="s">
        <v>149</v>
      </c>
      <c r="J18" s="6" t="n">
        <f aca="false">IF(G18="","",ROUND(G18*Method!$B$3/1000000,1))</f>
        <v>0.8</v>
      </c>
      <c r="K18" s="6" t="n">
        <f aca="false">IF(H18="","",ROUND(H18*Method!$B$4/1000000,1))</f>
        <v>3</v>
      </c>
      <c r="L18" s="6" t="n">
        <f aca="false">IF(J18="","",ROUND(J18*Method!$B$6*Method!$B$7,1))</f>
        <v>0.5</v>
      </c>
      <c r="M18" s="6" t="n">
        <f aca="false">IF(K18="","",ROUND(K18*Method!$B$6*Method!$B$8,1))</f>
        <v>3.2</v>
      </c>
      <c r="N18" s="2"/>
      <c r="O18" s="5" t="s">
        <v>83</v>
      </c>
      <c r="P18" s="5" t="s">
        <v>150</v>
      </c>
      <c r="Q18" s="2" t="s">
        <v>69</v>
      </c>
      <c r="R18" s="5" t="s">
        <v>151</v>
      </c>
      <c r="S18" s="5"/>
      <c r="T18" s="5" t="s">
        <v>152</v>
      </c>
      <c r="U18" s="2" t="s">
        <v>153</v>
      </c>
      <c r="V18" s="5" t="s">
        <v>154</v>
      </c>
    </row>
    <row r="19" customFormat="false" ht="15" hidden="false" customHeight="false" outlineLevel="0" collapsed="false">
      <c r="A19" s="2" t="s">
        <v>22</v>
      </c>
      <c r="B19" s="2" t="s">
        <v>155</v>
      </c>
      <c r="C19" s="3" t="str">
        <f aca="false">HYPERLINK("https://accentimaging.com","accentimaging.com")</f>
        <v>accentimaging.com</v>
      </c>
      <c r="D19" s="2" t="s">
        <v>43</v>
      </c>
      <c r="E19" s="4" t="n">
        <v>1984</v>
      </c>
      <c r="F19" s="4" t="n">
        <f aca="false">IF(E19="","",Method!$B$2-E19)</f>
        <v>42</v>
      </c>
      <c r="G19" s="4" t="n">
        <v>10</v>
      </c>
      <c r="H19" s="4" t="n">
        <v>30</v>
      </c>
      <c r="I19" s="5" t="s">
        <v>156</v>
      </c>
      <c r="J19" s="6" t="n">
        <f aca="false">IF(G19="","",ROUND(G19*Method!$B$3/1000000,1))</f>
        <v>1.5</v>
      </c>
      <c r="K19" s="6" t="n">
        <f aca="false">IF(H19="","",ROUND(H19*Method!$B$4/1000000,1))</f>
        <v>6</v>
      </c>
      <c r="L19" s="6" t="n">
        <f aca="false">IF(J19="","",ROUND(J19*Method!$B$6*Method!$B$7,1))</f>
        <v>0.9</v>
      </c>
      <c r="M19" s="6" t="n">
        <f aca="false">IF(K19="","",ROUND(K19*Method!$B$6*Method!$B$8,1))</f>
        <v>6.3</v>
      </c>
      <c r="N19" s="2"/>
      <c r="O19" s="5" t="s">
        <v>157</v>
      </c>
      <c r="P19" s="5" t="s">
        <v>52</v>
      </c>
      <c r="Q19" s="2" t="s">
        <v>53</v>
      </c>
      <c r="R19" s="5" t="s">
        <v>158</v>
      </c>
      <c r="S19" s="5"/>
      <c r="T19" s="5" t="s">
        <v>159</v>
      </c>
      <c r="U19" s="2" t="s">
        <v>160</v>
      </c>
      <c r="V19" s="5" t="s">
        <v>161</v>
      </c>
    </row>
    <row r="20" customFormat="false" ht="15" hidden="false" customHeight="false" outlineLevel="0" collapsed="false">
      <c r="A20" s="2" t="s">
        <v>22</v>
      </c>
      <c r="B20" s="2" t="s">
        <v>162</v>
      </c>
      <c r="C20" s="3" t="str">
        <f aca="false">HYPERLINK("https://amfrontier.net","amfrontier.net")</f>
        <v>amfrontier.net</v>
      </c>
      <c r="D20" s="2" t="s">
        <v>163</v>
      </c>
      <c r="E20" s="4" t="n">
        <v>1996</v>
      </c>
      <c r="F20" s="4" t="n">
        <f aca="false">IF(E20="","",Method!$B$2-E20)</f>
        <v>30</v>
      </c>
      <c r="G20" s="4" t="n">
        <v>5</v>
      </c>
      <c r="H20" s="4" t="n">
        <v>15</v>
      </c>
      <c r="I20" s="5" t="s">
        <v>156</v>
      </c>
      <c r="J20" s="6" t="n">
        <f aca="false">IF(G20="","",ROUND(G20*Method!$B$3/1000000,1))</f>
        <v>0.8</v>
      </c>
      <c r="K20" s="6" t="n">
        <f aca="false">IF(H20="","",ROUND(H20*Method!$B$4/1000000,1))</f>
        <v>3</v>
      </c>
      <c r="L20" s="6" t="n">
        <f aca="false">IF(J20="","",ROUND(J20*Method!$B$6*Method!$B$7,1))</f>
        <v>0.5</v>
      </c>
      <c r="M20" s="6" t="n">
        <f aca="false">IF(K20="","",ROUND(K20*Method!$B$6*Method!$B$8,1))</f>
        <v>3.2</v>
      </c>
      <c r="N20" s="2"/>
      <c r="O20" s="5" t="s">
        <v>157</v>
      </c>
      <c r="P20" s="5" t="s">
        <v>52</v>
      </c>
      <c r="Q20" s="2" t="s">
        <v>53</v>
      </c>
      <c r="R20" s="5" t="s">
        <v>164</v>
      </c>
      <c r="S20" s="5"/>
      <c r="T20" s="5" t="s">
        <v>165</v>
      </c>
      <c r="U20" s="2"/>
      <c r="V20" s="5"/>
    </row>
    <row r="21" customFormat="false" ht="15" hidden="false" customHeight="false" outlineLevel="0" collapsed="false">
      <c r="A21" s="2" t="s">
        <v>22</v>
      </c>
      <c r="B21" s="2" t="s">
        <v>166</v>
      </c>
      <c r="C21" s="3" t="str">
        <f aca="false">HYPERLINK("https://sysnettech.com","sysnettech.com")</f>
        <v>sysnettech.com</v>
      </c>
      <c r="D21" s="2" t="s">
        <v>43</v>
      </c>
      <c r="E21" s="2"/>
      <c r="F21" s="2"/>
      <c r="G21" s="4" t="n">
        <v>5</v>
      </c>
      <c r="H21" s="4" t="n">
        <v>15</v>
      </c>
      <c r="I21" s="5" t="s">
        <v>156</v>
      </c>
      <c r="J21" s="6" t="n">
        <f aca="false">IF(G21="","",ROUND(G21*Method!$B$3/1000000,1))</f>
        <v>0.8</v>
      </c>
      <c r="K21" s="6" t="n">
        <f aca="false">IF(H21="","",ROUND(H21*Method!$B$4/1000000,1))</f>
        <v>3</v>
      </c>
      <c r="L21" s="6" t="n">
        <f aca="false">IF(J21="","",ROUND(J21*Method!$B$6*Method!$B$7,1))</f>
        <v>0.5</v>
      </c>
      <c r="M21" s="6" t="n">
        <f aca="false">IF(K21="","",ROUND(K21*Method!$B$6*Method!$B$8,1))</f>
        <v>3.2</v>
      </c>
      <c r="N21" s="2"/>
      <c r="O21" s="5" t="s">
        <v>167</v>
      </c>
      <c r="P21" s="5" t="s">
        <v>52</v>
      </c>
      <c r="Q21" s="2" t="s">
        <v>53</v>
      </c>
      <c r="R21" s="5" t="s">
        <v>168</v>
      </c>
      <c r="S21" s="5"/>
      <c r="T21" s="5" t="s">
        <v>169</v>
      </c>
      <c r="U21" s="2"/>
      <c r="V21" s="5"/>
    </row>
    <row r="22" customFormat="false" ht="15" hidden="false" customHeight="false" outlineLevel="0" collapsed="false">
      <c r="A22" s="2" t="s">
        <v>22</v>
      </c>
      <c r="B22" s="2" t="s">
        <v>170</v>
      </c>
      <c r="C22" s="3" t="str">
        <f aca="false">HYPERLINK("https://lightwireinc.com","lightwireinc.com")</f>
        <v>lightwireinc.com</v>
      </c>
      <c r="D22" s="2" t="s">
        <v>43</v>
      </c>
      <c r="E22" s="2"/>
      <c r="F22" s="2"/>
      <c r="G22" s="4" t="n">
        <v>5</v>
      </c>
      <c r="H22" s="4" t="n">
        <v>15</v>
      </c>
      <c r="I22" s="5" t="s">
        <v>156</v>
      </c>
      <c r="J22" s="6" t="n">
        <f aca="false">IF(G22="","",ROUND(G22*Method!$B$3/1000000,1))</f>
        <v>0.8</v>
      </c>
      <c r="K22" s="6" t="n">
        <f aca="false">IF(H22="","",ROUND(H22*Method!$B$4/1000000,1))</f>
        <v>3</v>
      </c>
      <c r="L22" s="6" t="n">
        <f aca="false">IF(J22="","",ROUND(J22*Method!$B$6*Method!$B$7,1))</f>
        <v>0.5</v>
      </c>
      <c r="M22" s="6" t="n">
        <f aca="false">IF(K22="","",ROUND(K22*Method!$B$6*Method!$B$8,1))</f>
        <v>3.2</v>
      </c>
      <c r="N22" s="2"/>
      <c r="O22" s="5" t="s">
        <v>167</v>
      </c>
      <c r="P22" s="5" t="s">
        <v>52</v>
      </c>
      <c r="Q22" s="2" t="s">
        <v>53</v>
      </c>
      <c r="R22" s="5" t="s">
        <v>171</v>
      </c>
      <c r="S22" s="5"/>
      <c r="T22" s="5" t="s">
        <v>172</v>
      </c>
      <c r="U22" s="2" t="s">
        <v>173</v>
      </c>
      <c r="V22" s="5"/>
    </row>
    <row r="23" customFormat="false" ht="28.35" hidden="false" customHeight="false" outlineLevel="0" collapsed="false">
      <c r="A23" s="12" t="s">
        <v>124</v>
      </c>
      <c r="B23" s="12" t="s">
        <v>174</v>
      </c>
      <c r="C23" s="13" t="str">
        <f aca="false">HYPERLINK("https://www.wingswept.com","www.wingswept.com")</f>
        <v>www.wingswept.com</v>
      </c>
      <c r="D23" s="12" t="s">
        <v>175</v>
      </c>
      <c r="E23" s="14" t="n">
        <v>1995</v>
      </c>
      <c r="F23" s="14" t="n">
        <f aca="false">IF(E23="","",Method!$B$2-E23)</f>
        <v>31</v>
      </c>
      <c r="G23" s="14" t="n">
        <v>68</v>
      </c>
      <c r="H23" s="14" t="n">
        <v>85</v>
      </c>
      <c r="I23" s="15" t="s">
        <v>176</v>
      </c>
      <c r="J23" s="16" t="n">
        <f aca="false">IF(G23="","",ROUND(G23*Method!$B$3/1000000,1))</f>
        <v>10.2</v>
      </c>
      <c r="K23" s="16" t="n">
        <f aca="false">IF(H23="","",ROUND(H23*Method!$B$4/1000000,1))</f>
        <v>17</v>
      </c>
      <c r="L23" s="16" t="n">
        <f aca="false">IF(J23="","",ROUND(J23*Method!$B$6*Method!$B$7,1))</f>
        <v>6.1</v>
      </c>
      <c r="M23" s="16" t="n">
        <f aca="false">IF(K23="","",ROUND(K23*Method!$B$6*Method!$B$8,1))</f>
        <v>17.9</v>
      </c>
      <c r="N23" s="12"/>
      <c r="O23" s="15" t="s">
        <v>177</v>
      </c>
      <c r="P23" s="15" t="s">
        <v>178</v>
      </c>
      <c r="Q23" s="12" t="s">
        <v>129</v>
      </c>
      <c r="R23" s="15" t="s">
        <v>179</v>
      </c>
      <c r="S23" s="15"/>
      <c r="T23" s="15" t="s">
        <v>180</v>
      </c>
      <c r="U23" s="12" t="s">
        <v>181</v>
      </c>
      <c r="V23" s="15" t="s">
        <v>182</v>
      </c>
    </row>
    <row r="24" customFormat="false" ht="41.75" hidden="false" customHeight="false" outlineLevel="0" collapsed="false">
      <c r="A24" s="12" t="s">
        <v>124</v>
      </c>
      <c r="B24" s="12" t="s">
        <v>183</v>
      </c>
      <c r="C24" s="13" t="str">
        <f aca="false">HYPERLINK("https://www.netfriends.com","www.netfriends.com")</f>
        <v>www.netfriends.com</v>
      </c>
      <c r="D24" s="12" t="s">
        <v>74</v>
      </c>
      <c r="E24" s="14" t="n">
        <v>1997</v>
      </c>
      <c r="F24" s="14" t="n">
        <f aca="false">IF(E24="","",Method!$B$2-E24)</f>
        <v>29</v>
      </c>
      <c r="G24" s="14" t="n">
        <v>50</v>
      </c>
      <c r="H24" s="14" t="n">
        <v>60</v>
      </c>
      <c r="I24" s="15" t="s">
        <v>184</v>
      </c>
      <c r="J24" s="16" t="n">
        <f aca="false">IF(G24="","",ROUND(G24*Method!$B$3/1000000,1))</f>
        <v>7.5</v>
      </c>
      <c r="K24" s="16" t="n">
        <f aca="false">IF(H24="","",ROUND(H24*Method!$B$4/1000000,1))</f>
        <v>12</v>
      </c>
      <c r="L24" s="16" t="n">
        <f aca="false">IF(J24="","",ROUND(J24*Method!$B$6*Method!$B$7,1))</f>
        <v>4.5</v>
      </c>
      <c r="M24" s="16" t="n">
        <f aca="false">IF(K24="","",ROUND(K24*Method!$B$6*Method!$B$8,1))</f>
        <v>12.6</v>
      </c>
      <c r="N24" s="12" t="s">
        <v>185</v>
      </c>
      <c r="O24" s="15" t="s">
        <v>186</v>
      </c>
      <c r="P24" s="15" t="s">
        <v>187</v>
      </c>
      <c r="Q24" s="12" t="s">
        <v>129</v>
      </c>
      <c r="R24" s="15" t="s">
        <v>188</v>
      </c>
      <c r="S24" s="15"/>
      <c r="T24" s="15" t="s">
        <v>189</v>
      </c>
      <c r="U24" s="12" t="s">
        <v>190</v>
      </c>
      <c r="V24" s="15" t="s">
        <v>191</v>
      </c>
    </row>
    <row r="25" customFormat="false" ht="28.35" hidden="false" customHeight="false" outlineLevel="0" collapsed="false">
      <c r="A25" s="12" t="s">
        <v>124</v>
      </c>
      <c r="B25" s="12" t="s">
        <v>192</v>
      </c>
      <c r="C25" s="13" t="str">
        <f aca="false">HYPERLINK("https://www.worksmart.com","www.worksmart.com")</f>
        <v>www.worksmart.com</v>
      </c>
      <c r="D25" s="12" t="s">
        <v>193</v>
      </c>
      <c r="E25" s="14" t="n">
        <v>2001</v>
      </c>
      <c r="F25" s="14" t="n">
        <f aca="false">IF(E25="","",Method!$B$2-E25)</f>
        <v>25</v>
      </c>
      <c r="G25" s="14" t="n">
        <v>80</v>
      </c>
      <c r="H25" s="14" t="n">
        <v>100</v>
      </c>
      <c r="I25" s="15" t="s">
        <v>194</v>
      </c>
      <c r="J25" s="16" t="n">
        <f aca="false">IF(G25="","",ROUND(G25*Method!$B$3/1000000,1))</f>
        <v>12</v>
      </c>
      <c r="K25" s="16" t="n">
        <f aca="false">IF(H25="","",ROUND(H25*Method!$B$4/1000000,1))</f>
        <v>20</v>
      </c>
      <c r="L25" s="16" t="n">
        <f aca="false">IF(J25="","",ROUND(J25*Method!$B$6*Method!$B$7,1))</f>
        <v>7.2</v>
      </c>
      <c r="M25" s="16" t="n">
        <f aca="false">IF(K25="","",ROUND(K25*Method!$B$6*Method!$B$8,1))</f>
        <v>21</v>
      </c>
      <c r="N25" s="12" t="s">
        <v>195</v>
      </c>
      <c r="O25" s="15" t="s">
        <v>196</v>
      </c>
      <c r="P25" s="15" t="s">
        <v>197</v>
      </c>
      <c r="Q25" s="12" t="s">
        <v>69</v>
      </c>
      <c r="R25" s="15" t="s">
        <v>198</v>
      </c>
      <c r="S25" s="15"/>
      <c r="T25" s="15" t="s">
        <v>199</v>
      </c>
      <c r="U25" s="12" t="s">
        <v>200</v>
      </c>
      <c r="V25" s="15" t="s">
        <v>201</v>
      </c>
    </row>
    <row r="26" customFormat="false" ht="28.35" hidden="false" customHeight="false" outlineLevel="0" collapsed="false">
      <c r="A26" s="12" t="s">
        <v>124</v>
      </c>
      <c r="B26" s="12" t="s">
        <v>202</v>
      </c>
      <c r="C26" s="13" t="str">
        <f aca="false">HYPERLINK("https://samitsolutions.com","samitsolutions.com")</f>
        <v>samitsolutions.com</v>
      </c>
      <c r="D26" s="12" t="s">
        <v>203</v>
      </c>
      <c r="E26" s="14" t="n">
        <v>2009</v>
      </c>
      <c r="F26" s="14" t="n">
        <f aca="false">IF(E26="","",Method!$B$2-E26)</f>
        <v>17</v>
      </c>
      <c r="G26" s="14" t="n">
        <v>30</v>
      </c>
      <c r="H26" s="14" t="n">
        <v>38</v>
      </c>
      <c r="I26" s="15" t="s">
        <v>204</v>
      </c>
      <c r="J26" s="16" t="n">
        <f aca="false">IF(G26="","",ROUND(G26*Method!$B$3/1000000,1))</f>
        <v>4.5</v>
      </c>
      <c r="K26" s="16" t="n">
        <f aca="false">IF(H26="","",ROUND(H26*Method!$B$4/1000000,1))</f>
        <v>7.6</v>
      </c>
      <c r="L26" s="16" t="n">
        <f aca="false">IF(J26="","",ROUND(J26*Method!$B$6*Method!$B$7,1))</f>
        <v>2.7</v>
      </c>
      <c r="M26" s="16" t="n">
        <f aca="false">IF(K26="","",ROUND(K26*Method!$B$6*Method!$B$8,1))</f>
        <v>8</v>
      </c>
      <c r="N26" s="12" t="s">
        <v>205</v>
      </c>
      <c r="O26" s="15" t="s">
        <v>83</v>
      </c>
      <c r="P26" s="15" t="s">
        <v>206</v>
      </c>
      <c r="Q26" s="12" t="s">
        <v>129</v>
      </c>
      <c r="R26" s="15" t="s">
        <v>207</v>
      </c>
      <c r="S26" s="15"/>
      <c r="T26" s="15" t="s">
        <v>208</v>
      </c>
      <c r="U26" s="12" t="s">
        <v>209</v>
      </c>
      <c r="V26" s="15"/>
    </row>
    <row r="27" customFormat="false" ht="28.35" hidden="false" customHeight="false" outlineLevel="0" collapsed="false">
      <c r="A27" s="12" t="s">
        <v>124</v>
      </c>
      <c r="B27" s="12" t="s">
        <v>210</v>
      </c>
      <c r="C27" s="13" t="str">
        <f aca="false">HYPERLINK("https://www.xceedit.com","www.xceedit.com")</f>
        <v>www.xceedit.com</v>
      </c>
      <c r="D27" s="12" t="s">
        <v>211</v>
      </c>
      <c r="E27" s="14" t="n">
        <v>2009</v>
      </c>
      <c r="F27" s="14" t="n">
        <f aca="false">IF(E27="","",Method!$B$2-E27)</f>
        <v>17</v>
      </c>
      <c r="G27" s="14" t="n">
        <v>8</v>
      </c>
      <c r="H27" s="14" t="n">
        <v>15</v>
      </c>
      <c r="I27" s="15" t="s">
        <v>212</v>
      </c>
      <c r="J27" s="16" t="n">
        <f aca="false">IF(G27="","",ROUND(G27*Method!$B$3/1000000,1))</f>
        <v>1.2</v>
      </c>
      <c r="K27" s="16" t="n">
        <f aca="false">IF(H27="","",ROUND(H27*Method!$B$4/1000000,1))</f>
        <v>3</v>
      </c>
      <c r="L27" s="16" t="n">
        <f aca="false">IF(J27="","",ROUND(J27*Method!$B$6*Method!$B$7,1))</f>
        <v>0.7</v>
      </c>
      <c r="M27" s="16" t="n">
        <f aca="false">IF(K27="","",ROUND(K27*Method!$B$6*Method!$B$8,1))</f>
        <v>3.2</v>
      </c>
      <c r="N27" s="12" t="s">
        <v>36</v>
      </c>
      <c r="O27" s="15" t="s">
        <v>213</v>
      </c>
      <c r="P27" s="15" t="s">
        <v>214</v>
      </c>
      <c r="Q27" s="12" t="s">
        <v>129</v>
      </c>
      <c r="R27" s="15" t="s">
        <v>215</v>
      </c>
      <c r="S27" s="15"/>
      <c r="T27" s="15" t="s">
        <v>216</v>
      </c>
      <c r="U27" s="12" t="s">
        <v>217</v>
      </c>
      <c r="V27" s="15"/>
    </row>
    <row r="28" customFormat="false" ht="28.35" hidden="false" customHeight="false" outlineLevel="0" collapsed="false">
      <c r="A28" s="12" t="s">
        <v>124</v>
      </c>
      <c r="B28" s="12" t="s">
        <v>218</v>
      </c>
      <c r="C28" s="13" t="str">
        <f aca="false">HYPERLINK("https://enitechsolutions.com","enitechsolutions.com")</f>
        <v>enitechsolutions.com</v>
      </c>
      <c r="D28" s="12" t="s">
        <v>43</v>
      </c>
      <c r="E28" s="14" t="n">
        <v>2013</v>
      </c>
      <c r="F28" s="14" t="n">
        <f aca="false">IF(E28="","",Method!$B$2-E28)</f>
        <v>13</v>
      </c>
      <c r="G28" s="14" t="n">
        <v>11</v>
      </c>
      <c r="H28" s="14" t="n">
        <v>15</v>
      </c>
      <c r="I28" s="15" t="s">
        <v>219</v>
      </c>
      <c r="J28" s="16" t="n">
        <f aca="false">IF(G28="","",ROUND(G28*Method!$B$3/1000000,1))</f>
        <v>1.7</v>
      </c>
      <c r="K28" s="16" t="n">
        <f aca="false">IF(H28="","",ROUND(H28*Method!$B$4/1000000,1))</f>
        <v>3</v>
      </c>
      <c r="L28" s="16" t="n">
        <f aca="false">IF(J28="","",ROUND(J28*Method!$B$6*Method!$B$7,1))</f>
        <v>1</v>
      </c>
      <c r="M28" s="16" t="n">
        <f aca="false">IF(K28="","",ROUND(K28*Method!$B$6*Method!$B$8,1))</f>
        <v>3.2</v>
      </c>
      <c r="N28" s="12"/>
      <c r="O28" s="15" t="s">
        <v>83</v>
      </c>
      <c r="P28" s="15" t="s">
        <v>220</v>
      </c>
      <c r="Q28" s="12" t="s">
        <v>129</v>
      </c>
      <c r="R28" s="15" t="s">
        <v>221</v>
      </c>
      <c r="S28" s="15"/>
      <c r="T28" s="15" t="s">
        <v>222</v>
      </c>
      <c r="U28" s="12" t="s">
        <v>223</v>
      </c>
      <c r="V28" s="15" t="s">
        <v>224</v>
      </c>
    </row>
    <row r="29" customFormat="false" ht="28.35" hidden="false" customHeight="false" outlineLevel="0" collapsed="false">
      <c r="A29" s="12" t="s">
        <v>124</v>
      </c>
      <c r="B29" s="12" t="s">
        <v>225</v>
      </c>
      <c r="C29" s="13" t="str">
        <f aca="false">HYPERLINK("https://www.onpartech.com","www.onpartech.com")</f>
        <v>www.onpartech.com</v>
      </c>
      <c r="D29" s="12" t="s">
        <v>34</v>
      </c>
      <c r="E29" s="14" t="n">
        <v>2007</v>
      </c>
      <c r="F29" s="14" t="n">
        <f aca="false">IF(E29="","",Method!$B$2-E29)</f>
        <v>19</v>
      </c>
      <c r="G29" s="14" t="n">
        <v>8</v>
      </c>
      <c r="H29" s="14" t="n">
        <v>12</v>
      </c>
      <c r="I29" s="15" t="s">
        <v>226</v>
      </c>
      <c r="J29" s="16" t="n">
        <f aca="false">IF(G29="","",ROUND(G29*Method!$B$3/1000000,1))</f>
        <v>1.2</v>
      </c>
      <c r="K29" s="16" t="n">
        <f aca="false">IF(H29="","",ROUND(H29*Method!$B$4/1000000,1))</f>
        <v>2.4</v>
      </c>
      <c r="L29" s="16" t="n">
        <f aca="false">IF(J29="","",ROUND(J29*Method!$B$6*Method!$B$7,1))</f>
        <v>0.7</v>
      </c>
      <c r="M29" s="16" t="n">
        <f aca="false">IF(K29="","",ROUND(K29*Method!$B$6*Method!$B$8,1))</f>
        <v>2.5</v>
      </c>
      <c r="N29" s="12" t="s">
        <v>227</v>
      </c>
      <c r="O29" s="15" t="s">
        <v>83</v>
      </c>
      <c r="P29" s="15" t="s">
        <v>228</v>
      </c>
      <c r="Q29" s="12" t="s">
        <v>69</v>
      </c>
      <c r="R29" s="15" t="s">
        <v>229</v>
      </c>
      <c r="S29" s="15"/>
      <c r="T29" s="15" t="s">
        <v>230</v>
      </c>
      <c r="U29" s="12" t="s">
        <v>231</v>
      </c>
      <c r="V29" s="15"/>
    </row>
    <row r="30" customFormat="false" ht="28.35" hidden="false" customHeight="false" outlineLevel="0" collapsed="false">
      <c r="A30" s="12" t="s">
        <v>124</v>
      </c>
      <c r="B30" s="12" t="s">
        <v>232</v>
      </c>
      <c r="C30" s="13" t="str">
        <f aca="false">HYPERLINK("https://www.insighttechadv.com","www.insighttechadv.com")</f>
        <v>www.insighttechadv.com</v>
      </c>
      <c r="D30" s="12" t="s">
        <v>233</v>
      </c>
      <c r="E30" s="14" t="n">
        <v>2019</v>
      </c>
      <c r="F30" s="14" t="n">
        <f aca="false">IF(E30="","",Method!$B$2-E30)</f>
        <v>7</v>
      </c>
      <c r="G30" s="14" t="n">
        <v>5</v>
      </c>
      <c r="H30" s="14" t="n">
        <v>15</v>
      </c>
      <c r="I30" s="15" t="s">
        <v>234</v>
      </c>
      <c r="J30" s="16" t="n">
        <f aca="false">IF(G30="","",ROUND(G30*Method!$B$3/1000000,1))</f>
        <v>0.8</v>
      </c>
      <c r="K30" s="16" t="n">
        <f aca="false">IF(H30="","",ROUND(H30*Method!$B$4/1000000,1))</f>
        <v>3</v>
      </c>
      <c r="L30" s="16" t="n">
        <f aca="false">IF(J30="","",ROUND(J30*Method!$B$6*Method!$B$7,1))</f>
        <v>0.5</v>
      </c>
      <c r="M30" s="16" t="n">
        <f aca="false">IF(K30="","",ROUND(K30*Method!$B$6*Method!$B$8,1))</f>
        <v>3.2</v>
      </c>
      <c r="N30" s="12"/>
      <c r="O30" s="15" t="s">
        <v>235</v>
      </c>
      <c r="P30" s="15" t="s">
        <v>236</v>
      </c>
      <c r="Q30" s="12" t="s">
        <v>69</v>
      </c>
      <c r="R30" s="15" t="s">
        <v>237</v>
      </c>
      <c r="S30" s="15"/>
      <c r="T30" s="15" t="s">
        <v>238</v>
      </c>
      <c r="U30" s="12" t="s">
        <v>239</v>
      </c>
      <c r="V30" s="15" t="s">
        <v>240</v>
      </c>
    </row>
    <row r="31" customFormat="false" ht="28.35" hidden="false" customHeight="false" outlineLevel="0" collapsed="false">
      <c r="A31" s="12" t="s">
        <v>124</v>
      </c>
      <c r="B31" s="12" t="s">
        <v>241</v>
      </c>
      <c r="C31" s="13" t="str">
        <f aca="false">HYPERLINK("https://www.wellforceit.com","www.wellforceit.com")</f>
        <v>www.wellforceit.com</v>
      </c>
      <c r="D31" s="12" t="s">
        <v>242</v>
      </c>
      <c r="E31" s="14" t="n">
        <v>2019</v>
      </c>
      <c r="F31" s="14" t="n">
        <f aca="false">IF(E31="","",Method!$B$2-E31)</f>
        <v>7</v>
      </c>
      <c r="G31" s="14" t="n">
        <v>12</v>
      </c>
      <c r="H31" s="14" t="n">
        <v>18</v>
      </c>
      <c r="I31" s="15" t="s">
        <v>243</v>
      </c>
      <c r="J31" s="16" t="n">
        <f aca="false">IF(G31="","",ROUND(G31*Method!$B$3/1000000,1))</f>
        <v>1.8</v>
      </c>
      <c r="K31" s="16" t="n">
        <f aca="false">IF(H31="","",ROUND(H31*Method!$B$4/1000000,1))</f>
        <v>3.6</v>
      </c>
      <c r="L31" s="16" t="n">
        <f aca="false">IF(J31="","",ROUND(J31*Method!$B$6*Method!$B$7,1))</f>
        <v>1.1</v>
      </c>
      <c r="M31" s="16" t="n">
        <f aca="false">IF(K31="","",ROUND(K31*Method!$B$6*Method!$B$8,1))</f>
        <v>3.8</v>
      </c>
      <c r="N31" s="12"/>
      <c r="O31" s="15" t="s">
        <v>244</v>
      </c>
      <c r="P31" s="15" t="s">
        <v>245</v>
      </c>
      <c r="Q31" s="12" t="s">
        <v>129</v>
      </c>
      <c r="R31" s="15" t="s">
        <v>246</v>
      </c>
      <c r="S31" s="15" t="s">
        <v>247</v>
      </c>
      <c r="T31" s="15" t="s">
        <v>248</v>
      </c>
      <c r="U31" s="12"/>
      <c r="V31" s="15"/>
    </row>
    <row r="32" customFormat="false" ht="28.35" hidden="false" customHeight="false" outlineLevel="0" collapsed="false">
      <c r="A32" s="12" t="s">
        <v>124</v>
      </c>
      <c r="B32" s="12" t="s">
        <v>249</v>
      </c>
      <c r="C32" s="13" t="str">
        <f aca="false">HYPERLINK("https://petronellatech.com","petronellatech.com")</f>
        <v>petronellatech.com</v>
      </c>
      <c r="D32" s="12" t="s">
        <v>43</v>
      </c>
      <c r="E32" s="14" t="n">
        <v>2002</v>
      </c>
      <c r="F32" s="14" t="n">
        <f aca="false">IF(E32="","",Method!$B$2-E32)</f>
        <v>24</v>
      </c>
      <c r="G32" s="14" t="n">
        <v>4</v>
      </c>
      <c r="H32" s="14" t="n">
        <v>10</v>
      </c>
      <c r="I32" s="15" t="s">
        <v>250</v>
      </c>
      <c r="J32" s="16" t="n">
        <f aca="false">IF(G32="","",ROUND(G32*Method!$B$3/1000000,1))</f>
        <v>0.6</v>
      </c>
      <c r="K32" s="16" t="n">
        <f aca="false">IF(H32="","",ROUND(H32*Method!$B$4/1000000,1))</f>
        <v>2</v>
      </c>
      <c r="L32" s="16" t="n">
        <f aca="false">IF(J32="","",ROUND(J32*Method!$B$6*Method!$B$7,1))</f>
        <v>0.4</v>
      </c>
      <c r="M32" s="16" t="n">
        <f aca="false">IF(K32="","",ROUND(K32*Method!$B$6*Method!$B$8,1))</f>
        <v>2.1</v>
      </c>
      <c r="N32" s="12"/>
      <c r="O32" s="15" t="s">
        <v>83</v>
      </c>
      <c r="P32" s="15" t="s">
        <v>251</v>
      </c>
      <c r="Q32" s="12" t="s">
        <v>69</v>
      </c>
      <c r="R32" s="15" t="s">
        <v>252</v>
      </c>
      <c r="S32" s="15" t="s">
        <v>253</v>
      </c>
      <c r="T32" s="15" t="s">
        <v>254</v>
      </c>
      <c r="U32" s="12" t="s">
        <v>146</v>
      </c>
      <c r="V32" s="15" t="s">
        <v>255</v>
      </c>
    </row>
    <row r="33" customFormat="false" ht="15" hidden="false" customHeight="false" outlineLevel="0" collapsed="false">
      <c r="A33" s="12" t="s">
        <v>124</v>
      </c>
      <c r="B33" s="12" t="s">
        <v>256</v>
      </c>
      <c r="C33" s="13" t="str">
        <f aca="false">HYPERLINK("https://www.freedomtech.us","www.freedomtech.us")</f>
        <v>www.freedomtech.us</v>
      </c>
      <c r="D33" s="12" t="s">
        <v>257</v>
      </c>
      <c r="E33" s="14" t="n">
        <v>2011</v>
      </c>
      <c r="F33" s="14" t="n">
        <f aca="false">IF(E33="","",Method!$B$2-E33)</f>
        <v>15</v>
      </c>
      <c r="G33" s="14" t="n">
        <v>10</v>
      </c>
      <c r="H33" s="14" t="n">
        <v>30</v>
      </c>
      <c r="I33" s="15" t="s">
        <v>258</v>
      </c>
      <c r="J33" s="16" t="n">
        <f aca="false">IF(G33="","",ROUND(G33*Method!$B$3/1000000,1))</f>
        <v>1.5</v>
      </c>
      <c r="K33" s="16" t="n">
        <f aca="false">IF(H33="","",ROUND(H33*Method!$B$4/1000000,1))</f>
        <v>6</v>
      </c>
      <c r="L33" s="16" t="n">
        <f aca="false">IF(J33="","",ROUND(J33*Method!$B$6*Method!$B$7,1))</f>
        <v>0.9</v>
      </c>
      <c r="M33" s="16" t="n">
        <f aca="false">IF(K33="","",ROUND(K33*Method!$B$6*Method!$B$8,1))</f>
        <v>6.3</v>
      </c>
      <c r="N33" s="12"/>
      <c r="O33" s="15" t="s">
        <v>167</v>
      </c>
      <c r="P33" s="15" t="s">
        <v>52</v>
      </c>
      <c r="Q33" s="12" t="s">
        <v>53</v>
      </c>
      <c r="R33" s="15"/>
      <c r="S33" s="15"/>
      <c r="T33" s="15" t="s">
        <v>259</v>
      </c>
      <c r="U33" s="12" t="s">
        <v>260</v>
      </c>
      <c r="V33" s="15"/>
    </row>
    <row r="34" customFormat="false" ht="15" hidden="false" customHeight="false" outlineLevel="0" collapsed="false">
      <c r="A34" s="12" t="s">
        <v>124</v>
      </c>
      <c r="B34" s="12" t="s">
        <v>261</v>
      </c>
      <c r="C34" s="13" t="str">
        <f aca="false">HYPERLINK("https://connectcause.com","connectcause.com")</f>
        <v>connectcause.com</v>
      </c>
      <c r="D34" s="12" t="s">
        <v>262</v>
      </c>
      <c r="E34" s="12"/>
      <c r="F34" s="12"/>
      <c r="G34" s="14" t="n">
        <v>10</v>
      </c>
      <c r="H34" s="14" t="n">
        <v>30</v>
      </c>
      <c r="I34" s="15" t="s">
        <v>258</v>
      </c>
      <c r="J34" s="16" t="n">
        <f aca="false">IF(G34="","",ROUND(G34*Method!$B$3/1000000,1))</f>
        <v>1.5</v>
      </c>
      <c r="K34" s="16" t="n">
        <f aca="false">IF(H34="","",ROUND(H34*Method!$B$4/1000000,1))</f>
        <v>6</v>
      </c>
      <c r="L34" s="16" t="n">
        <f aca="false">IF(J34="","",ROUND(J34*Method!$B$6*Method!$B$7,1))</f>
        <v>0.9</v>
      </c>
      <c r="M34" s="16" t="n">
        <f aca="false">IF(K34="","",ROUND(K34*Method!$B$6*Method!$B$8,1))</f>
        <v>6.3</v>
      </c>
      <c r="N34" s="12"/>
      <c r="O34" s="15" t="s">
        <v>167</v>
      </c>
      <c r="P34" s="15" t="s">
        <v>52</v>
      </c>
      <c r="Q34" s="12" t="s">
        <v>53</v>
      </c>
      <c r="R34" s="15"/>
      <c r="S34" s="15"/>
      <c r="T34" s="15" t="s">
        <v>263</v>
      </c>
      <c r="U34" s="12" t="s">
        <v>217</v>
      </c>
      <c r="V34" s="15"/>
    </row>
    <row r="35" customFormat="false" ht="15" hidden="false" customHeight="false" outlineLevel="0" collapsed="false">
      <c r="A35" s="12" t="s">
        <v>124</v>
      </c>
      <c r="B35" s="12" t="s">
        <v>264</v>
      </c>
      <c r="C35" s="13" t="str">
        <f aca="false">HYPERLINK("https://bentontechsolutions.com","bentontechsolutions.com")</f>
        <v>bentontechsolutions.com</v>
      </c>
      <c r="D35" s="12" t="s">
        <v>43</v>
      </c>
      <c r="E35" s="12"/>
      <c r="F35" s="12"/>
      <c r="G35" s="14" t="n">
        <v>5</v>
      </c>
      <c r="H35" s="14" t="n">
        <v>15</v>
      </c>
      <c r="I35" s="15" t="s">
        <v>156</v>
      </c>
      <c r="J35" s="16" t="n">
        <f aca="false">IF(G35="","",ROUND(G35*Method!$B$3/1000000,1))</f>
        <v>0.8</v>
      </c>
      <c r="K35" s="16" t="n">
        <f aca="false">IF(H35="","",ROUND(H35*Method!$B$4/1000000,1))</f>
        <v>3</v>
      </c>
      <c r="L35" s="16" t="n">
        <f aca="false">IF(J35="","",ROUND(J35*Method!$B$6*Method!$B$7,1))</f>
        <v>0.5</v>
      </c>
      <c r="M35" s="16" t="n">
        <f aca="false">IF(K35="","",ROUND(K35*Method!$B$6*Method!$B$8,1))</f>
        <v>3.2</v>
      </c>
      <c r="N35" s="12"/>
      <c r="O35" s="15" t="s">
        <v>265</v>
      </c>
      <c r="P35" s="15" t="s">
        <v>52</v>
      </c>
      <c r="Q35" s="12" t="s">
        <v>53</v>
      </c>
      <c r="R35" s="15"/>
      <c r="S35" s="15"/>
      <c r="T35" s="15" t="s">
        <v>266</v>
      </c>
      <c r="U35" s="12" t="s">
        <v>267</v>
      </c>
      <c r="V35" s="15"/>
    </row>
    <row r="36" customFormat="false" ht="28.35" hidden="false" customHeight="false" outlineLevel="0" collapsed="false">
      <c r="A36" s="12" t="s">
        <v>124</v>
      </c>
      <c r="B36" s="12" t="s">
        <v>268</v>
      </c>
      <c r="C36" s="13" t="str">
        <f aca="false">HYPERLINK("https://intelligentvisibility.com","intelligentvisibility.com")</f>
        <v>intelligentvisibility.com</v>
      </c>
      <c r="D36" s="12" t="s">
        <v>43</v>
      </c>
      <c r="E36" s="12"/>
      <c r="F36" s="12"/>
      <c r="G36" s="14" t="n">
        <v>20</v>
      </c>
      <c r="H36" s="14" t="n">
        <v>60</v>
      </c>
      <c r="I36" s="15" t="s">
        <v>269</v>
      </c>
      <c r="J36" s="16" t="n">
        <f aca="false">IF(G36="","",ROUND(G36*Method!$B$3/1000000,1))</f>
        <v>3</v>
      </c>
      <c r="K36" s="16" t="n">
        <f aca="false">IF(H36="","",ROUND(H36*Method!$B$4/1000000,1))</f>
        <v>12</v>
      </c>
      <c r="L36" s="16" t="n">
        <f aca="false">IF(J36="","",ROUND(J36*Method!$B$6*Method!$B$7,1))</f>
        <v>1.8</v>
      </c>
      <c r="M36" s="16" t="n">
        <f aca="false">IF(K36="","",ROUND(K36*Method!$B$6*Method!$B$8,1))</f>
        <v>12.6</v>
      </c>
      <c r="N36" s="12"/>
      <c r="O36" s="15" t="s">
        <v>167</v>
      </c>
      <c r="P36" s="15" t="s">
        <v>52</v>
      </c>
      <c r="Q36" s="12" t="s">
        <v>53</v>
      </c>
      <c r="R36" s="15"/>
      <c r="S36" s="15"/>
      <c r="T36" s="15" t="s">
        <v>270</v>
      </c>
      <c r="U36" s="12"/>
      <c r="V36" s="15" t="s">
        <v>271</v>
      </c>
    </row>
    <row r="37" customFormat="false" ht="28.35" hidden="false" customHeight="false" outlineLevel="0" collapsed="false">
      <c r="A37" s="7" t="s">
        <v>107</v>
      </c>
      <c r="B37" s="7" t="s">
        <v>272</v>
      </c>
      <c r="C37" s="8" t="str">
        <f aca="false">HYPERLINK("https://technologyassociates.net","technologyassociates.net")</f>
        <v>technologyassociates.net</v>
      </c>
      <c r="D37" s="7" t="s">
        <v>43</v>
      </c>
      <c r="E37" s="9" t="n">
        <v>1997</v>
      </c>
      <c r="F37" s="9" t="n">
        <f aca="false">IF(E37="","",Method!$B$2-E37)</f>
        <v>29</v>
      </c>
      <c r="G37" s="9" t="n">
        <v>30</v>
      </c>
      <c r="H37" s="9" t="n">
        <v>40</v>
      </c>
      <c r="I37" s="10" t="s">
        <v>204</v>
      </c>
      <c r="J37" s="11" t="n">
        <f aca="false">IF(G37="","",ROUND(G37*Method!$B$3/1000000,1))</f>
        <v>4.5</v>
      </c>
      <c r="K37" s="11" t="n">
        <f aca="false">IF(H37="","",ROUND(H37*Method!$B$4/1000000,1))</f>
        <v>8</v>
      </c>
      <c r="L37" s="11" t="n">
        <f aca="false">IF(J37="","",ROUND(J37*Method!$B$6*Method!$B$7,1))</f>
        <v>2.7</v>
      </c>
      <c r="M37" s="11" t="n">
        <f aca="false">IF(K37="","",ROUND(K37*Method!$B$6*Method!$B$8,1))</f>
        <v>8.4</v>
      </c>
      <c r="N37" s="7" t="s">
        <v>273</v>
      </c>
      <c r="O37" s="10" t="s">
        <v>274</v>
      </c>
      <c r="P37" s="10" t="s">
        <v>275</v>
      </c>
      <c r="Q37" s="7" t="s">
        <v>112</v>
      </c>
      <c r="R37" s="10" t="s">
        <v>276</v>
      </c>
      <c r="S37" s="10"/>
      <c r="T37" s="10" t="s">
        <v>277</v>
      </c>
      <c r="U37" s="7" t="s">
        <v>278</v>
      </c>
      <c r="V37" s="10"/>
    </row>
    <row r="38" customFormat="false" ht="28.35" hidden="false" customHeight="false" outlineLevel="0" collapsed="false">
      <c r="A38" s="7" t="s">
        <v>107</v>
      </c>
      <c r="B38" s="7" t="s">
        <v>279</v>
      </c>
      <c r="C38" s="8" t="str">
        <f aca="false">HYPERLINK("https://harborit.com","harborit.com")</f>
        <v>harborit.com</v>
      </c>
      <c r="D38" s="7" t="s">
        <v>280</v>
      </c>
      <c r="E38" s="9" t="n">
        <v>1990</v>
      </c>
      <c r="F38" s="9" t="n">
        <f aca="false">IF(E38="","",Method!$B$2-E38)</f>
        <v>36</v>
      </c>
      <c r="G38" s="9" t="n">
        <v>40</v>
      </c>
      <c r="H38" s="9" t="n">
        <v>49</v>
      </c>
      <c r="I38" s="10" t="s">
        <v>281</v>
      </c>
      <c r="J38" s="11" t="n">
        <f aca="false">IF(G38="","",ROUND(G38*Method!$B$3/1000000,1))</f>
        <v>6</v>
      </c>
      <c r="K38" s="11" t="n">
        <f aca="false">IF(H38="","",ROUND(H38*Method!$B$4/1000000,1))</f>
        <v>9.8</v>
      </c>
      <c r="L38" s="11" t="n">
        <f aca="false">IF(J38="","",ROUND(J38*Method!$B$6*Method!$B$7,1))</f>
        <v>3.6</v>
      </c>
      <c r="M38" s="11" t="n">
        <f aca="false">IF(K38="","",ROUND(K38*Method!$B$6*Method!$B$8,1))</f>
        <v>10.3</v>
      </c>
      <c r="N38" s="7" t="s">
        <v>282</v>
      </c>
      <c r="O38" s="10" t="s">
        <v>283</v>
      </c>
      <c r="P38" s="10" t="s">
        <v>284</v>
      </c>
      <c r="Q38" s="7" t="s">
        <v>112</v>
      </c>
      <c r="R38" s="10" t="s">
        <v>285</v>
      </c>
      <c r="S38" s="10"/>
      <c r="T38" s="10" t="s">
        <v>286</v>
      </c>
      <c r="U38" s="7" t="s">
        <v>287</v>
      </c>
      <c r="V38" s="10" t="s">
        <v>288</v>
      </c>
    </row>
    <row r="39" customFormat="false" ht="28.35" hidden="false" customHeight="false" outlineLevel="0" collapsed="false">
      <c r="A39" s="7" t="s">
        <v>107</v>
      </c>
      <c r="B39" s="7" t="s">
        <v>289</v>
      </c>
      <c r="C39" s="8" t="str">
        <f aca="false">HYPERLINK("https://pc-net.com","pc-net.com")</f>
        <v>pc-net.com</v>
      </c>
      <c r="D39" s="7" t="s">
        <v>290</v>
      </c>
      <c r="E39" s="9" t="n">
        <v>1987</v>
      </c>
      <c r="F39" s="9" t="n">
        <f aca="false">IF(E39="","",Method!$B$2-E39)</f>
        <v>39</v>
      </c>
      <c r="G39" s="9" t="n">
        <v>11</v>
      </c>
      <c r="H39" s="9" t="n">
        <v>30</v>
      </c>
      <c r="I39" s="10" t="s">
        <v>291</v>
      </c>
      <c r="J39" s="11" t="n">
        <f aca="false">IF(G39="","",ROUND(G39*Method!$B$3/1000000,1))</f>
        <v>1.7</v>
      </c>
      <c r="K39" s="11" t="n">
        <f aca="false">IF(H39="","",ROUND(H39*Method!$B$4/1000000,1))</f>
        <v>6</v>
      </c>
      <c r="L39" s="11" t="n">
        <f aca="false">IF(J39="","",ROUND(J39*Method!$B$6*Method!$B$7,1))</f>
        <v>1</v>
      </c>
      <c r="M39" s="11" t="n">
        <f aca="false">IF(K39="","",ROUND(K39*Method!$B$6*Method!$B$8,1))</f>
        <v>6.3</v>
      </c>
      <c r="N39" s="7"/>
      <c r="O39" s="10" t="s">
        <v>292</v>
      </c>
      <c r="P39" s="10" t="s">
        <v>293</v>
      </c>
      <c r="Q39" s="7" t="s">
        <v>112</v>
      </c>
      <c r="R39" s="10" t="s">
        <v>276</v>
      </c>
      <c r="S39" s="10"/>
      <c r="T39" s="10" t="s">
        <v>294</v>
      </c>
      <c r="U39" s="7" t="s">
        <v>295</v>
      </c>
      <c r="V39" s="10"/>
    </row>
    <row r="40" customFormat="false" ht="28.35" hidden="false" customHeight="false" outlineLevel="0" collapsed="false">
      <c r="A40" s="7" t="s">
        <v>107</v>
      </c>
      <c r="B40" s="7" t="s">
        <v>296</v>
      </c>
      <c r="C40" s="8" t="str">
        <f aca="false">HYPERLINK("https://www.scarlettgroup.com","www.scarlettgroup.com")</f>
        <v>www.scarlettgroup.com</v>
      </c>
      <c r="D40" s="7" t="s">
        <v>297</v>
      </c>
      <c r="E40" s="9" t="n">
        <v>2005</v>
      </c>
      <c r="F40" s="9" t="n">
        <f aca="false">IF(E40="","",Method!$B$2-E40)</f>
        <v>21</v>
      </c>
      <c r="G40" s="9" t="n">
        <v>25</v>
      </c>
      <c r="H40" s="9" t="n">
        <v>99</v>
      </c>
      <c r="I40" s="10" t="s">
        <v>298</v>
      </c>
      <c r="J40" s="11" t="n">
        <f aca="false">IF(G40="","",ROUND(G40*Method!$B$3/1000000,1))</f>
        <v>3.8</v>
      </c>
      <c r="K40" s="11" t="n">
        <f aca="false">IF(H40="","",ROUND(H40*Method!$B$4/1000000,1))</f>
        <v>19.8</v>
      </c>
      <c r="L40" s="11" t="n">
        <f aca="false">IF(J40="","",ROUND(J40*Method!$B$6*Method!$B$7,1))</f>
        <v>2.3</v>
      </c>
      <c r="M40" s="11" t="n">
        <f aca="false">IF(K40="","",ROUND(K40*Method!$B$6*Method!$B$8,1))</f>
        <v>20.8</v>
      </c>
      <c r="N40" s="7"/>
      <c r="O40" s="10" t="s">
        <v>299</v>
      </c>
      <c r="P40" s="10"/>
      <c r="Q40" s="7" t="s">
        <v>112</v>
      </c>
      <c r="R40" s="10" t="s">
        <v>300</v>
      </c>
      <c r="S40" s="10"/>
      <c r="T40" s="10" t="s">
        <v>301</v>
      </c>
      <c r="U40" s="7" t="s">
        <v>302</v>
      </c>
      <c r="V40" s="10"/>
    </row>
    <row r="41" customFormat="false" ht="28.35" hidden="false" customHeight="false" outlineLevel="0" collapsed="false">
      <c r="A41" s="17" t="s">
        <v>303</v>
      </c>
      <c r="B41" s="17" t="s">
        <v>304</v>
      </c>
      <c r="C41" s="18" t="str">
        <f aca="false">HYPERLINK("https://cmitsolutions.com/cary-nc-1008/","cmitsolutions.com/cary-nc-1008")</f>
        <v>cmitsolutions.com/cary-nc-1008</v>
      </c>
      <c r="D41" s="17" t="s">
        <v>305</v>
      </c>
      <c r="E41" s="17"/>
      <c r="F41" s="17"/>
      <c r="G41" s="19" t="n">
        <v>5</v>
      </c>
      <c r="H41" s="19" t="n">
        <v>15</v>
      </c>
      <c r="I41" s="20" t="s">
        <v>306</v>
      </c>
      <c r="J41" s="21" t="n">
        <f aca="false">IF(G41="","",ROUND(G41*Method!$B$3/1000000,1))</f>
        <v>0.8</v>
      </c>
      <c r="K41" s="21" t="n">
        <f aca="false">IF(H41="","",ROUND(H41*Method!$B$4/1000000,1))</f>
        <v>3</v>
      </c>
      <c r="L41" s="21" t="n">
        <f aca="false">IF(J41="","",ROUND(J41*Method!$B$6*Method!$B$7,1))</f>
        <v>0.5</v>
      </c>
      <c r="M41" s="21" t="n">
        <f aca="false">IF(K41="","",ROUND(K41*Method!$B$6*Method!$B$8,1))</f>
        <v>3.2</v>
      </c>
      <c r="N41" s="17"/>
      <c r="O41" s="20" t="s">
        <v>307</v>
      </c>
      <c r="P41" s="20" t="s">
        <v>308</v>
      </c>
      <c r="Q41" s="17" t="s">
        <v>69</v>
      </c>
      <c r="R41" s="20" t="s">
        <v>309</v>
      </c>
      <c r="S41" s="20"/>
      <c r="T41" s="20" t="s">
        <v>310</v>
      </c>
      <c r="U41" s="17"/>
      <c r="V41" s="20" t="s">
        <v>311</v>
      </c>
    </row>
    <row r="42" customFormat="false" ht="28.35" hidden="false" customHeight="false" outlineLevel="0" collapsed="false">
      <c r="A42" s="17" t="s">
        <v>303</v>
      </c>
      <c r="B42" s="17" t="s">
        <v>312</v>
      </c>
      <c r="C42" s="18" t="str">
        <f aca="false">HYPERLINK("https://cmitsolutions.com/chapelhill-nc-1074/","cmitsolutions.com/chapelhill-nc-1074")</f>
        <v>cmitsolutions.com/chapelhill-nc-1074</v>
      </c>
      <c r="D42" s="17" t="s">
        <v>290</v>
      </c>
      <c r="E42" s="17"/>
      <c r="F42" s="17"/>
      <c r="G42" s="19" t="n">
        <v>2</v>
      </c>
      <c r="H42" s="19" t="n">
        <v>8</v>
      </c>
      <c r="I42" s="20" t="s">
        <v>313</v>
      </c>
      <c r="J42" s="21" t="n">
        <f aca="false">IF(G42="","",ROUND(G42*Method!$B$3/1000000,1))</f>
        <v>0.3</v>
      </c>
      <c r="K42" s="21" t="n">
        <f aca="false">IF(H42="","",ROUND(H42*Method!$B$4/1000000,1))</f>
        <v>1.6</v>
      </c>
      <c r="L42" s="21" t="n">
        <f aca="false">IF(J42="","",ROUND(J42*Method!$B$6*Method!$B$7,1))</f>
        <v>0.2</v>
      </c>
      <c r="M42" s="21" t="n">
        <f aca="false">IF(K42="","",ROUND(K42*Method!$B$6*Method!$B$8,1))</f>
        <v>1.7</v>
      </c>
      <c r="N42" s="17"/>
      <c r="O42" s="20" t="s">
        <v>314</v>
      </c>
      <c r="P42" s="20" t="s">
        <v>315</v>
      </c>
      <c r="Q42" s="17" t="s">
        <v>53</v>
      </c>
      <c r="R42" s="20"/>
      <c r="S42" s="20"/>
      <c r="T42" s="20" t="s">
        <v>316</v>
      </c>
      <c r="U42" s="17"/>
      <c r="V42" s="20" t="s">
        <v>317</v>
      </c>
    </row>
    <row r="43" customFormat="false" ht="28.35" hidden="false" customHeight="false" outlineLevel="0" collapsed="false">
      <c r="A43" s="17" t="s">
        <v>303</v>
      </c>
      <c r="B43" s="17" t="s">
        <v>318</v>
      </c>
      <c r="C43" s="18" t="str">
        <f aca="false">HYPERLINK("https://www.teamlogicit.com/durhamnc311/","www.teamlogicit.com/durhamnc311")</f>
        <v>www.teamlogicit.com/durhamnc311</v>
      </c>
      <c r="D43" s="17" t="s">
        <v>319</v>
      </c>
      <c r="E43" s="19" t="n">
        <v>2018</v>
      </c>
      <c r="F43" s="19" t="n">
        <f aca="false">IF(E43="","",Method!$B$2-E43)</f>
        <v>8</v>
      </c>
      <c r="G43" s="19" t="n">
        <v>5</v>
      </c>
      <c r="H43" s="19" t="n">
        <v>12</v>
      </c>
      <c r="I43" s="20" t="s">
        <v>320</v>
      </c>
      <c r="J43" s="21" t="n">
        <f aca="false">IF(G43="","",ROUND(G43*Method!$B$3/1000000,1))</f>
        <v>0.8</v>
      </c>
      <c r="K43" s="21" t="n">
        <f aca="false">IF(H43="","",ROUND(H43*Method!$B$4/1000000,1))</f>
        <v>2.4</v>
      </c>
      <c r="L43" s="21" t="n">
        <f aca="false">IF(J43="","",ROUND(J43*Method!$B$6*Method!$B$7,1))</f>
        <v>0.5</v>
      </c>
      <c r="M43" s="21" t="n">
        <f aca="false">IF(K43="","",ROUND(K43*Method!$B$6*Method!$B$8,1))</f>
        <v>2.5</v>
      </c>
      <c r="N43" s="17" t="s">
        <v>321</v>
      </c>
      <c r="O43" s="20" t="s">
        <v>322</v>
      </c>
      <c r="P43" s="20" t="s">
        <v>323</v>
      </c>
      <c r="Q43" s="17" t="s">
        <v>69</v>
      </c>
      <c r="R43" s="20" t="s">
        <v>324</v>
      </c>
      <c r="S43" s="20"/>
      <c r="T43" s="20" t="s">
        <v>325</v>
      </c>
      <c r="U43" s="17"/>
      <c r="V43" s="20" t="s">
        <v>326</v>
      </c>
    </row>
    <row r="44" customFormat="false" ht="28.35" hidden="false" customHeight="false" outlineLevel="0" collapsed="false">
      <c r="A44" s="17" t="s">
        <v>303</v>
      </c>
      <c r="B44" s="17" t="s">
        <v>327</v>
      </c>
      <c r="C44" s="18" t="str">
        <f aca="false">HYPERLINK("https://www.teamlogicit.com/CarrboroNC316/","www.teamlogicit.com/CarrboroNC316")</f>
        <v>www.teamlogicit.com/CarrboroNC316</v>
      </c>
      <c r="D44" s="17" t="s">
        <v>328</v>
      </c>
      <c r="E44" s="17"/>
      <c r="F44" s="17"/>
      <c r="G44" s="19" t="n">
        <v>2</v>
      </c>
      <c r="H44" s="19" t="n">
        <v>8</v>
      </c>
      <c r="I44" s="20" t="s">
        <v>313</v>
      </c>
      <c r="J44" s="21" t="n">
        <f aca="false">IF(G44="","",ROUND(G44*Method!$B$3/1000000,1))</f>
        <v>0.3</v>
      </c>
      <c r="K44" s="21" t="n">
        <f aca="false">IF(H44="","",ROUND(H44*Method!$B$4/1000000,1))</f>
        <v>1.6</v>
      </c>
      <c r="L44" s="21" t="n">
        <f aca="false">IF(J44="","",ROUND(J44*Method!$B$6*Method!$B$7,1))</f>
        <v>0.2</v>
      </c>
      <c r="M44" s="21" t="n">
        <f aca="false">IF(K44="","",ROUND(K44*Method!$B$6*Method!$B$8,1))</f>
        <v>1.7</v>
      </c>
      <c r="N44" s="17"/>
      <c r="O44" s="20" t="s">
        <v>329</v>
      </c>
      <c r="P44" s="20" t="s">
        <v>330</v>
      </c>
      <c r="Q44" s="17" t="s">
        <v>53</v>
      </c>
      <c r="R44" s="20"/>
      <c r="S44" s="20"/>
      <c r="T44" s="20" t="s">
        <v>331</v>
      </c>
      <c r="U44" s="17"/>
      <c r="V44" s="20" t="s">
        <v>317</v>
      </c>
    </row>
    <row r="45" customFormat="false" ht="28.35" hidden="false" customHeight="false" outlineLevel="0" collapsed="false">
      <c r="A45" s="17" t="s">
        <v>303</v>
      </c>
      <c r="B45" s="17" t="s">
        <v>332</v>
      </c>
      <c r="C45" s="18" t="str">
        <f aca="false">HYPERLINK("https://www.teamlogicit.com/raleighnc304/","www.teamlogicit.com/raleighnc304")</f>
        <v>www.teamlogicit.com/raleighnc304</v>
      </c>
      <c r="D45" s="17" t="s">
        <v>333</v>
      </c>
      <c r="E45" s="17"/>
      <c r="F45" s="17"/>
      <c r="G45" s="19" t="n">
        <v>10</v>
      </c>
      <c r="H45" s="19" t="n">
        <v>30</v>
      </c>
      <c r="I45" s="20" t="s">
        <v>334</v>
      </c>
      <c r="J45" s="21" t="n">
        <f aca="false">IF(G45="","",ROUND(G45*Method!$B$3/1000000,1))</f>
        <v>1.5</v>
      </c>
      <c r="K45" s="21" t="n">
        <f aca="false">IF(H45="","",ROUND(H45*Method!$B$4/1000000,1))</f>
        <v>6</v>
      </c>
      <c r="L45" s="21" t="n">
        <f aca="false">IF(J45="","",ROUND(J45*Method!$B$6*Method!$B$7,1))</f>
        <v>0.9</v>
      </c>
      <c r="M45" s="21" t="n">
        <f aca="false">IF(K45="","",ROUND(K45*Method!$B$6*Method!$B$8,1))</f>
        <v>6.3</v>
      </c>
      <c r="N45" s="17"/>
      <c r="O45" s="20" t="s">
        <v>335</v>
      </c>
      <c r="P45" s="20" t="s">
        <v>336</v>
      </c>
      <c r="Q45" s="17" t="s">
        <v>112</v>
      </c>
      <c r="R45" s="20" t="s">
        <v>337</v>
      </c>
      <c r="S45" s="20"/>
      <c r="T45" s="20" t="s">
        <v>338</v>
      </c>
      <c r="U45" s="17"/>
      <c r="V45" s="20"/>
    </row>
    <row r="46" customFormat="false" ht="15" hidden="false" customHeight="false" outlineLevel="0" collapsed="false">
      <c r="A46" s="12" t="s">
        <v>339</v>
      </c>
      <c r="B46" s="12" t="s">
        <v>340</v>
      </c>
      <c r="C46" s="13" t="str">
        <f aca="false">HYPERLINK("https://coremanaged.com","coremanaged.com")</f>
        <v>coremanaged.com</v>
      </c>
      <c r="D46" s="12" t="s">
        <v>43</v>
      </c>
      <c r="E46" s="12"/>
      <c r="F46" s="12"/>
      <c r="G46" s="12"/>
      <c r="H46" s="12"/>
      <c r="I46" s="15"/>
      <c r="J46" s="12"/>
      <c r="K46" s="12"/>
      <c r="L46" s="12"/>
      <c r="M46" s="12"/>
      <c r="N46" s="12"/>
      <c r="O46" s="15" t="s">
        <v>341</v>
      </c>
      <c r="P46" s="15" t="s">
        <v>52</v>
      </c>
      <c r="Q46" s="12" t="s">
        <v>53</v>
      </c>
      <c r="R46" s="15"/>
      <c r="S46" s="15"/>
      <c r="T46" s="15" t="s">
        <v>342</v>
      </c>
      <c r="U46" s="12"/>
      <c r="V46" s="15"/>
    </row>
    <row r="47" customFormat="false" ht="15" hidden="false" customHeight="false" outlineLevel="0" collapsed="false">
      <c r="A47" s="12" t="s">
        <v>339</v>
      </c>
      <c r="B47" s="12" t="s">
        <v>343</v>
      </c>
      <c r="C47" s="13" t="str">
        <f aca="false">HYPERLINK("https://tek-help.com","tek-help.com")</f>
        <v>tek-help.com</v>
      </c>
      <c r="D47" s="12" t="s">
        <v>43</v>
      </c>
      <c r="E47" s="12"/>
      <c r="F47" s="12"/>
      <c r="G47" s="12"/>
      <c r="H47" s="12"/>
      <c r="I47" s="15"/>
      <c r="J47" s="12"/>
      <c r="K47" s="12"/>
      <c r="L47" s="12"/>
      <c r="M47" s="12"/>
      <c r="N47" s="12"/>
      <c r="O47" s="15" t="s">
        <v>341</v>
      </c>
      <c r="P47" s="15" t="s">
        <v>52</v>
      </c>
      <c r="Q47" s="12" t="s">
        <v>53</v>
      </c>
      <c r="R47" s="15"/>
      <c r="S47" s="15"/>
      <c r="T47" s="15" t="s">
        <v>344</v>
      </c>
      <c r="U47" s="12"/>
      <c r="V47" s="15"/>
    </row>
    <row r="48" customFormat="false" ht="28.35" hidden="false" customHeight="false" outlineLevel="0" collapsed="false">
      <c r="A48" s="12" t="s">
        <v>339</v>
      </c>
      <c r="B48" s="12" t="s">
        <v>345</v>
      </c>
      <c r="C48" s="13" t="str">
        <f aca="false">HYPERLINK("https://trianglecomputerservices.com","trianglecomputerservices.com")</f>
        <v>trianglecomputerservices.com</v>
      </c>
      <c r="D48" s="12" t="s">
        <v>43</v>
      </c>
      <c r="E48" s="12"/>
      <c r="F48" s="12"/>
      <c r="G48" s="12"/>
      <c r="H48" s="12"/>
      <c r="I48" s="15"/>
      <c r="J48" s="12"/>
      <c r="K48" s="12"/>
      <c r="L48" s="12"/>
      <c r="M48" s="12"/>
      <c r="N48" s="12"/>
      <c r="O48" s="15" t="s">
        <v>341</v>
      </c>
      <c r="P48" s="15" t="s">
        <v>52</v>
      </c>
      <c r="Q48" s="12" t="s">
        <v>53</v>
      </c>
      <c r="R48" s="15" t="s">
        <v>346</v>
      </c>
      <c r="S48" s="15"/>
      <c r="T48" s="15" t="s">
        <v>347</v>
      </c>
      <c r="U48" s="12"/>
      <c r="V48" s="15"/>
    </row>
    <row r="49" customFormat="false" ht="15" hidden="false" customHeight="false" outlineLevel="0" collapsed="false">
      <c r="A49" s="12" t="s">
        <v>339</v>
      </c>
      <c r="B49" s="12" t="s">
        <v>348</v>
      </c>
      <c r="C49" s="13" t="str">
        <f aca="false">HYPERLINK("https://csi-of-raleigh.com","csi-of-raleigh.com")</f>
        <v>csi-of-raleigh.com</v>
      </c>
      <c r="D49" s="12" t="s">
        <v>43</v>
      </c>
      <c r="E49" s="12"/>
      <c r="F49" s="12"/>
      <c r="G49" s="12"/>
      <c r="H49" s="12"/>
      <c r="I49" s="15"/>
      <c r="J49" s="12"/>
      <c r="K49" s="12"/>
      <c r="L49" s="12"/>
      <c r="M49" s="12"/>
      <c r="N49" s="12"/>
      <c r="O49" s="15" t="s">
        <v>341</v>
      </c>
      <c r="P49" s="15" t="s">
        <v>52</v>
      </c>
      <c r="Q49" s="12" t="s">
        <v>53</v>
      </c>
      <c r="R49" s="15"/>
      <c r="S49" s="15"/>
      <c r="T49" s="15" t="s">
        <v>349</v>
      </c>
      <c r="U49" s="12"/>
      <c r="V49" s="15"/>
    </row>
    <row r="50" customFormat="false" ht="28.35" hidden="false" customHeight="false" outlineLevel="0" collapsed="false">
      <c r="A50" s="12" t="s">
        <v>339</v>
      </c>
      <c r="B50" s="12" t="s">
        <v>350</v>
      </c>
      <c r="C50" s="13" t="str">
        <f aca="false">HYPERLINK("https://exinent.com","exinent.com")</f>
        <v>exinent.com</v>
      </c>
      <c r="D50" s="12" t="s">
        <v>74</v>
      </c>
      <c r="E50" s="12"/>
      <c r="F50" s="12"/>
      <c r="G50" s="14" t="n">
        <v>50</v>
      </c>
      <c r="H50" s="14" t="n">
        <v>99</v>
      </c>
      <c r="I50" s="15" t="s">
        <v>351</v>
      </c>
      <c r="J50" s="16" t="n">
        <f aca="false">IF(G50="","",ROUND(G50*Method!$B$3/1000000,1))</f>
        <v>7.5</v>
      </c>
      <c r="K50" s="16" t="n">
        <f aca="false">IF(H50="","",ROUND(H50*Method!$B$4/1000000,1))</f>
        <v>19.8</v>
      </c>
      <c r="L50" s="16" t="n">
        <f aca="false">IF(J50="","",ROUND(J50*Method!$B$6*Method!$B$7,1))</f>
        <v>4.5</v>
      </c>
      <c r="M50" s="16" t="n">
        <f aca="false">IF(K50="","",ROUND(K50*Method!$B$6*Method!$B$8,1))</f>
        <v>20.8</v>
      </c>
      <c r="N50" s="12"/>
      <c r="O50" s="15" t="s">
        <v>341</v>
      </c>
      <c r="P50" s="15" t="s">
        <v>52</v>
      </c>
      <c r="Q50" s="12" t="s">
        <v>53</v>
      </c>
      <c r="R50" s="15" t="s">
        <v>352</v>
      </c>
      <c r="S50" s="15"/>
      <c r="T50" s="15" t="s">
        <v>353</v>
      </c>
      <c r="U50" s="12" t="s">
        <v>354</v>
      </c>
      <c r="V50" s="15" t="s">
        <v>355</v>
      </c>
    </row>
    <row r="51" customFormat="false" ht="28.35" hidden="false" customHeight="false" outlineLevel="0" collapsed="false">
      <c r="A51" s="12" t="s">
        <v>339</v>
      </c>
      <c r="B51" s="12" t="s">
        <v>356</v>
      </c>
      <c r="C51" s="13" t="str">
        <f aca="false">HYPERLINK("https://cadinc.com","cadinc.com")</f>
        <v>cadinc.com</v>
      </c>
      <c r="D51" s="12" t="s">
        <v>357</v>
      </c>
      <c r="E51" s="12"/>
      <c r="F51" s="12"/>
      <c r="G51" s="12"/>
      <c r="H51" s="12"/>
      <c r="I51" s="15"/>
      <c r="J51" s="12"/>
      <c r="K51" s="12"/>
      <c r="L51" s="12"/>
      <c r="M51" s="12"/>
      <c r="N51" s="12"/>
      <c r="O51" s="15" t="s">
        <v>341</v>
      </c>
      <c r="P51" s="15" t="s">
        <v>52</v>
      </c>
      <c r="Q51" s="12" t="s">
        <v>53</v>
      </c>
      <c r="R51" s="15"/>
      <c r="S51" s="15"/>
      <c r="T51" s="15" t="s">
        <v>358</v>
      </c>
      <c r="U51" s="12"/>
      <c r="V51" s="15" t="s">
        <v>359</v>
      </c>
    </row>
    <row r="52" customFormat="false" ht="28.35" hidden="false" customHeight="false" outlineLevel="0" collapsed="false">
      <c r="A52" s="12" t="s">
        <v>339</v>
      </c>
      <c r="B52" s="12" t="s">
        <v>360</v>
      </c>
      <c r="C52" s="13" t="str">
        <f aca="false">HYPERLINK("https://us.aap3.com","us.aap3.com")</f>
        <v>us.aap3.com</v>
      </c>
      <c r="D52" s="12" t="s">
        <v>305</v>
      </c>
      <c r="E52" s="12"/>
      <c r="F52" s="12"/>
      <c r="G52" s="14" t="n">
        <v>30</v>
      </c>
      <c r="H52" s="14" t="n">
        <v>80</v>
      </c>
      <c r="I52" s="15" t="s">
        <v>361</v>
      </c>
      <c r="J52" s="16" t="n">
        <f aca="false">IF(G52="","",ROUND(G52*Method!$B$3/1000000,1))</f>
        <v>4.5</v>
      </c>
      <c r="K52" s="16" t="n">
        <f aca="false">IF(H52="","",ROUND(H52*Method!$B$4/1000000,1))</f>
        <v>16</v>
      </c>
      <c r="L52" s="16" t="n">
        <f aca="false">IF(J52="","",ROUND(J52*Method!$B$6*Method!$B$7,1))</f>
        <v>2.7</v>
      </c>
      <c r="M52" s="16" t="n">
        <f aca="false">IF(K52="","",ROUND(K52*Method!$B$6*Method!$B$8,1))</f>
        <v>16.8</v>
      </c>
      <c r="N52" s="12"/>
      <c r="O52" s="15" t="s">
        <v>362</v>
      </c>
      <c r="P52" s="15" t="s">
        <v>52</v>
      </c>
      <c r="Q52" s="12" t="s">
        <v>112</v>
      </c>
      <c r="R52" s="15" t="s">
        <v>363</v>
      </c>
      <c r="S52" s="15"/>
      <c r="T52" s="15" t="s">
        <v>364</v>
      </c>
      <c r="U52" s="12"/>
      <c r="V52" s="15"/>
    </row>
    <row r="53" customFormat="false" ht="15" hidden="false" customHeight="false" outlineLevel="0" collapsed="false">
      <c r="A53" s="12" t="s">
        <v>339</v>
      </c>
      <c r="B53" s="12" t="s">
        <v>365</v>
      </c>
      <c r="C53" s="12"/>
      <c r="D53" s="12" t="s">
        <v>366</v>
      </c>
      <c r="E53" s="12"/>
      <c r="F53" s="12"/>
      <c r="G53" s="12"/>
      <c r="H53" s="12"/>
      <c r="I53" s="15" t="s">
        <v>258</v>
      </c>
      <c r="J53" s="12"/>
      <c r="K53" s="12"/>
      <c r="L53" s="12"/>
      <c r="M53" s="12"/>
      <c r="N53" s="12"/>
      <c r="O53" s="15" t="s">
        <v>341</v>
      </c>
      <c r="P53" s="15" t="s">
        <v>52</v>
      </c>
      <c r="Q53" s="12" t="s">
        <v>53</v>
      </c>
      <c r="R53" s="15"/>
      <c r="S53" s="15"/>
      <c r="T53" s="15" t="s">
        <v>367</v>
      </c>
      <c r="U53" s="12"/>
      <c r="V53" s="15" t="s">
        <v>368</v>
      </c>
    </row>
    <row r="54" customFormat="false" ht="15" hidden="false" customHeight="false" outlineLevel="0" collapsed="false">
      <c r="A54" s="12" t="s">
        <v>339</v>
      </c>
      <c r="B54" s="12" t="s">
        <v>369</v>
      </c>
      <c r="C54" s="12"/>
      <c r="D54" s="12" t="s">
        <v>74</v>
      </c>
      <c r="E54" s="12"/>
      <c r="F54" s="12"/>
      <c r="G54" s="12"/>
      <c r="H54" s="12"/>
      <c r="I54" s="15" t="s">
        <v>258</v>
      </c>
      <c r="J54" s="12"/>
      <c r="K54" s="12"/>
      <c r="L54" s="12"/>
      <c r="M54" s="12"/>
      <c r="N54" s="12"/>
      <c r="O54" s="15" t="s">
        <v>341</v>
      </c>
      <c r="P54" s="15" t="s">
        <v>52</v>
      </c>
      <c r="Q54" s="12" t="s">
        <v>53</v>
      </c>
      <c r="R54" s="15"/>
      <c r="S54" s="15"/>
      <c r="T54" s="15" t="s">
        <v>370</v>
      </c>
      <c r="U54" s="12"/>
      <c r="V54" s="15" t="s">
        <v>368</v>
      </c>
    </row>
    <row r="55" customFormat="false" ht="28.35" hidden="false" customHeight="false" outlineLevel="0" collapsed="false">
      <c r="A55" s="12" t="s">
        <v>339</v>
      </c>
      <c r="B55" s="12" t="s">
        <v>371</v>
      </c>
      <c r="C55" s="12"/>
      <c r="D55" s="12" t="s">
        <v>74</v>
      </c>
      <c r="E55" s="12"/>
      <c r="F55" s="12"/>
      <c r="G55" s="12"/>
      <c r="H55" s="12"/>
      <c r="I55" s="15"/>
      <c r="J55" s="12"/>
      <c r="K55" s="12"/>
      <c r="L55" s="12"/>
      <c r="M55" s="12"/>
      <c r="N55" s="12"/>
      <c r="O55" s="15" t="s">
        <v>341</v>
      </c>
      <c r="P55" s="15" t="s">
        <v>52</v>
      </c>
      <c r="Q55" s="12" t="s">
        <v>53</v>
      </c>
      <c r="R55" s="15"/>
      <c r="S55" s="15"/>
      <c r="T55" s="15" t="s">
        <v>372</v>
      </c>
      <c r="U55" s="12"/>
      <c r="V55" s="15" t="s">
        <v>373</v>
      </c>
    </row>
    <row r="56" customFormat="false" ht="15" hidden="false" customHeight="false" outlineLevel="0" collapsed="false">
      <c r="A56" s="12" t="s">
        <v>339</v>
      </c>
      <c r="B56" s="12" t="s">
        <v>374</v>
      </c>
      <c r="C56" s="12"/>
      <c r="D56" s="12" t="s">
        <v>305</v>
      </c>
      <c r="E56" s="12"/>
      <c r="F56" s="12"/>
      <c r="G56" s="12"/>
      <c r="H56" s="12"/>
      <c r="I56" s="15"/>
      <c r="J56" s="12"/>
      <c r="K56" s="12"/>
      <c r="L56" s="12"/>
      <c r="M56" s="12"/>
      <c r="N56" s="12"/>
      <c r="O56" s="15" t="s">
        <v>341</v>
      </c>
      <c r="P56" s="15" t="s">
        <v>52</v>
      </c>
      <c r="Q56" s="12" t="s">
        <v>53</v>
      </c>
      <c r="R56" s="15"/>
      <c r="S56" s="15"/>
      <c r="T56" s="15" t="s">
        <v>375</v>
      </c>
      <c r="U56" s="12"/>
      <c r="V56" s="15" t="s">
        <v>368</v>
      </c>
    </row>
    <row r="57" customFormat="false" ht="15" hidden="false" customHeight="false" outlineLevel="0" collapsed="false">
      <c r="A57" s="12" t="s">
        <v>339</v>
      </c>
      <c r="B57" s="12" t="s">
        <v>376</v>
      </c>
      <c r="C57" s="12"/>
      <c r="D57" s="12" t="s">
        <v>377</v>
      </c>
      <c r="E57" s="12"/>
      <c r="F57" s="12"/>
      <c r="G57" s="12"/>
      <c r="H57" s="12"/>
      <c r="I57" s="15"/>
      <c r="J57" s="12"/>
      <c r="K57" s="12"/>
      <c r="L57" s="12"/>
      <c r="M57" s="12"/>
      <c r="N57" s="12"/>
      <c r="O57" s="15" t="s">
        <v>341</v>
      </c>
      <c r="P57" s="15" t="s">
        <v>52</v>
      </c>
      <c r="Q57" s="12" t="s">
        <v>53</v>
      </c>
      <c r="R57" s="15"/>
      <c r="S57" s="15"/>
      <c r="T57" s="15" t="s">
        <v>378</v>
      </c>
      <c r="U57" s="12"/>
      <c r="V57" s="15" t="s">
        <v>368</v>
      </c>
    </row>
    <row r="58" customFormat="false" ht="15" hidden="false" customHeight="false" outlineLevel="0" collapsed="false">
      <c r="A58" s="12" t="s">
        <v>339</v>
      </c>
      <c r="B58" s="12" t="s">
        <v>379</v>
      </c>
      <c r="C58" s="12"/>
      <c r="D58" s="12" t="s">
        <v>43</v>
      </c>
      <c r="E58" s="12"/>
      <c r="F58" s="12"/>
      <c r="G58" s="12"/>
      <c r="H58" s="12"/>
      <c r="I58" s="15"/>
      <c r="J58" s="12"/>
      <c r="K58" s="12"/>
      <c r="L58" s="12"/>
      <c r="M58" s="12"/>
      <c r="N58" s="12"/>
      <c r="O58" s="15" t="s">
        <v>341</v>
      </c>
      <c r="P58" s="15" t="s">
        <v>52</v>
      </c>
      <c r="Q58" s="12" t="s">
        <v>53</v>
      </c>
      <c r="R58" s="15"/>
      <c r="S58" s="15"/>
      <c r="T58" s="15" t="s">
        <v>380</v>
      </c>
      <c r="U58" s="12"/>
      <c r="V58" s="15" t="s">
        <v>368</v>
      </c>
    </row>
  </sheetData>
  <autoFilter ref="A1:V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8"/>
    <col collapsed="false" customWidth="true" hidden="false" outlineLevel="0" max="4" min="3" style="0" width="26"/>
    <col collapsed="false" customWidth="true" hidden="false" outlineLevel="0" max="5" min="5" style="0" width="3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52"/>
    <col collapsed="false" customWidth="true" hidden="false" outlineLevel="0" max="9" min="9" style="0" width="34"/>
    <col collapsed="false" customWidth="true" hidden="false" outlineLevel="0" max="10" min="10" style="0" width="40"/>
    <col collapsed="false" customWidth="true" hidden="false" outlineLevel="0" max="11" min="11" style="0" width="46"/>
    <col collapsed="false" customWidth="true" hidden="false" outlineLevel="0" max="12" min="12" style="0" width="30"/>
  </cols>
  <sheetData>
    <row r="1" customFormat="false" ht="27.75" hidden="false" customHeight="true" outlineLevel="0" collapsed="false">
      <c r="A1" s="1" t="s">
        <v>381</v>
      </c>
      <c r="B1" s="1" t="s">
        <v>1</v>
      </c>
      <c r="C1" s="1" t="s">
        <v>2</v>
      </c>
      <c r="D1" s="1" t="s">
        <v>382</v>
      </c>
      <c r="E1" s="1" t="s">
        <v>15</v>
      </c>
      <c r="F1" s="1" t="s">
        <v>4</v>
      </c>
      <c r="G1" s="1" t="s">
        <v>383</v>
      </c>
      <c r="H1" s="1" t="s">
        <v>384</v>
      </c>
      <c r="I1" s="1" t="s">
        <v>385</v>
      </c>
      <c r="J1" s="1" t="s">
        <v>386</v>
      </c>
      <c r="K1" s="1" t="s">
        <v>387</v>
      </c>
      <c r="L1" s="1" t="s">
        <v>388</v>
      </c>
    </row>
    <row r="2" customFormat="false" ht="23.85" hidden="false" customHeight="false" outlineLevel="0" collapsed="false">
      <c r="A2" s="22" t="s">
        <v>28</v>
      </c>
      <c r="B2" s="23" t="s">
        <v>389</v>
      </c>
      <c r="C2" s="13" t="str">
        <f aca="false">HYPERLINK("https://www.tcnservices.com","www.tcnservices.com")</f>
        <v>www.tcnservices.com</v>
      </c>
      <c r="D2" s="23" t="s">
        <v>390</v>
      </c>
      <c r="E2" s="24" t="s">
        <v>391</v>
      </c>
      <c r="F2" s="25" t="n">
        <v>1981</v>
      </c>
      <c r="G2" s="23" t="s">
        <v>392</v>
      </c>
      <c r="H2" s="24" t="s">
        <v>393</v>
      </c>
      <c r="I2" s="24" t="s">
        <v>394</v>
      </c>
      <c r="J2" s="24" t="s">
        <v>395</v>
      </c>
      <c r="K2" s="24" t="s">
        <v>396</v>
      </c>
      <c r="L2" s="24"/>
    </row>
    <row r="3" customFormat="false" ht="23.85" hidden="false" customHeight="false" outlineLevel="0" collapsed="false">
      <c r="A3" s="22" t="s">
        <v>28</v>
      </c>
      <c r="B3" s="23" t="s">
        <v>397</v>
      </c>
      <c r="C3" s="13" t="str">
        <f aca="false">HYPERLINK("https://xtsnc.com","xtsnc.com")</f>
        <v>xtsnc.com</v>
      </c>
      <c r="D3" s="23" t="s">
        <v>398</v>
      </c>
      <c r="E3" s="24" t="s">
        <v>399</v>
      </c>
      <c r="F3" s="25" t="n">
        <v>2006</v>
      </c>
      <c r="G3" s="23" t="s">
        <v>400</v>
      </c>
      <c r="H3" s="24" t="s">
        <v>401</v>
      </c>
      <c r="I3" s="24" t="s">
        <v>402</v>
      </c>
      <c r="J3" s="24" t="s">
        <v>403</v>
      </c>
      <c r="K3" s="24" t="s">
        <v>404</v>
      </c>
      <c r="L3" s="24" t="s">
        <v>405</v>
      </c>
    </row>
    <row r="4" customFormat="false" ht="35.05" hidden="false" customHeight="false" outlineLevel="0" collapsed="false">
      <c r="A4" s="22" t="s">
        <v>28</v>
      </c>
      <c r="B4" s="23" t="s">
        <v>406</v>
      </c>
      <c r="C4" s="13" t="str">
        <f aca="false">HYPERLINK("https://www.itguys.net","www.itguys.net")</f>
        <v>www.itguys.net</v>
      </c>
      <c r="D4" s="23" t="s">
        <v>407</v>
      </c>
      <c r="E4" s="24" t="s">
        <v>408</v>
      </c>
      <c r="F4" s="25" t="n">
        <v>2017</v>
      </c>
      <c r="G4" s="23" t="s">
        <v>409</v>
      </c>
      <c r="H4" s="24" t="s">
        <v>410</v>
      </c>
      <c r="I4" s="24" t="s">
        <v>411</v>
      </c>
      <c r="J4" s="24" t="s">
        <v>412</v>
      </c>
      <c r="K4" s="24" t="s">
        <v>413</v>
      </c>
      <c r="L4" s="24" t="s">
        <v>414</v>
      </c>
    </row>
    <row r="5" customFormat="false" ht="23.85" hidden="false" customHeight="false" outlineLevel="0" collapsed="false">
      <c r="A5" s="22" t="s">
        <v>28</v>
      </c>
      <c r="B5" s="23" t="s">
        <v>415</v>
      </c>
      <c r="C5" s="13" t="str">
        <f aca="false">HYPERLINK("https://www.919solutions.com","www.919solutions.com")</f>
        <v>www.919solutions.com</v>
      </c>
      <c r="D5" s="23" t="s">
        <v>305</v>
      </c>
      <c r="E5" s="24" t="s">
        <v>416</v>
      </c>
      <c r="F5" s="25" t="n">
        <v>2017</v>
      </c>
      <c r="G5" s="23" t="s">
        <v>417</v>
      </c>
      <c r="H5" s="24" t="s">
        <v>418</v>
      </c>
      <c r="I5" s="24" t="s">
        <v>419</v>
      </c>
      <c r="J5" s="24" t="s">
        <v>420</v>
      </c>
      <c r="K5" s="24" t="s">
        <v>421</v>
      </c>
      <c r="L5" s="24" t="s">
        <v>422</v>
      </c>
    </row>
    <row r="6" customFormat="false" ht="23.85" hidden="false" customHeight="false" outlineLevel="0" collapsed="false">
      <c r="A6" s="22" t="s">
        <v>28</v>
      </c>
      <c r="B6" s="23" t="s">
        <v>423</v>
      </c>
      <c r="C6" s="13" t="str">
        <f aca="false">HYPERLINK("https://thetek.com","thetek.com")</f>
        <v>thetek.com</v>
      </c>
      <c r="D6" s="23" t="s">
        <v>43</v>
      </c>
      <c r="E6" s="24" t="s">
        <v>424</v>
      </c>
      <c r="F6" s="25" t="n">
        <v>2001</v>
      </c>
      <c r="G6" s="23" t="s">
        <v>392</v>
      </c>
      <c r="H6" s="24" t="s">
        <v>425</v>
      </c>
      <c r="I6" s="24" t="s">
        <v>426</v>
      </c>
      <c r="J6" s="24" t="s">
        <v>427</v>
      </c>
      <c r="K6" s="24" t="s">
        <v>428</v>
      </c>
      <c r="L6" s="24" t="s">
        <v>429</v>
      </c>
    </row>
    <row r="7" customFormat="false" ht="23.85" hidden="false" customHeight="false" outlineLevel="0" collapsed="false">
      <c r="A7" s="26" t="s">
        <v>430</v>
      </c>
      <c r="B7" s="23" t="s">
        <v>431</v>
      </c>
      <c r="C7" s="13" t="str">
        <f aca="false">HYPERLINK("https://niceguyit.biz","niceguyit.biz")</f>
        <v>niceguyit.biz</v>
      </c>
      <c r="D7" s="23" t="s">
        <v>366</v>
      </c>
      <c r="E7" s="24" t="s">
        <v>432</v>
      </c>
      <c r="F7" s="23"/>
      <c r="G7" s="23" t="s">
        <v>433</v>
      </c>
      <c r="H7" s="24" t="s">
        <v>434</v>
      </c>
      <c r="I7" s="24" t="s">
        <v>435</v>
      </c>
      <c r="J7" s="24" t="s">
        <v>52</v>
      </c>
      <c r="K7" s="24" t="s">
        <v>436</v>
      </c>
      <c r="L7" s="24" t="s">
        <v>437</v>
      </c>
    </row>
    <row r="8" customFormat="false" ht="23.85" hidden="false" customHeight="false" outlineLevel="0" collapsed="false">
      <c r="A8" s="26" t="s">
        <v>430</v>
      </c>
      <c r="B8" s="23" t="s">
        <v>438</v>
      </c>
      <c r="C8" s="13" t="str">
        <f aca="false">HYPERLINK("https://oakcityit.net","oakcityit.net")</f>
        <v>oakcityit.net</v>
      </c>
      <c r="D8" s="23" t="s">
        <v>43</v>
      </c>
      <c r="E8" s="24" t="s">
        <v>439</v>
      </c>
      <c r="F8" s="25" t="n">
        <v>2017</v>
      </c>
      <c r="G8" s="23" t="s">
        <v>417</v>
      </c>
      <c r="H8" s="24" t="s">
        <v>440</v>
      </c>
      <c r="I8" s="24" t="s">
        <v>441</v>
      </c>
      <c r="J8" s="24" t="s">
        <v>442</v>
      </c>
      <c r="K8" s="24" t="s">
        <v>443</v>
      </c>
      <c r="L8" s="24"/>
    </row>
    <row r="9" customFormat="false" ht="23.85" hidden="false" customHeight="false" outlineLevel="0" collapsed="false">
      <c r="A9" s="26" t="s">
        <v>430</v>
      </c>
      <c r="B9" s="23" t="s">
        <v>444</v>
      </c>
      <c r="C9" s="13" t="str">
        <f aca="false">HYPERLINK("https://www.geeksforbusiness.net","www.geeksforbusiness.net")</f>
        <v>www.geeksforbusiness.net</v>
      </c>
      <c r="D9" s="23" t="s">
        <v>74</v>
      </c>
      <c r="E9" s="24" t="s">
        <v>445</v>
      </c>
      <c r="F9" s="25" t="n">
        <v>2019</v>
      </c>
      <c r="G9" s="23" t="s">
        <v>446</v>
      </c>
      <c r="H9" s="24" t="s">
        <v>447</v>
      </c>
      <c r="I9" s="24" t="s">
        <v>448</v>
      </c>
      <c r="J9" s="24" t="s">
        <v>449</v>
      </c>
      <c r="K9" s="24" t="s">
        <v>450</v>
      </c>
      <c r="L9" s="24" t="s">
        <v>451</v>
      </c>
    </row>
    <row r="10" customFormat="false" ht="23.85" hidden="false" customHeight="false" outlineLevel="0" collapsed="false">
      <c r="A10" s="26" t="s">
        <v>430</v>
      </c>
      <c r="B10" s="23" t="s">
        <v>452</v>
      </c>
      <c r="C10" s="13" t="str">
        <f aca="false">HYPERLINK("https://www.airtight-rdu.com","www.airtight-rdu.com")</f>
        <v>www.airtight-rdu.com</v>
      </c>
      <c r="D10" s="23" t="s">
        <v>74</v>
      </c>
      <c r="E10" s="24" t="s">
        <v>453</v>
      </c>
      <c r="F10" s="23"/>
      <c r="G10" s="23" t="s">
        <v>446</v>
      </c>
      <c r="H10" s="24" t="s">
        <v>454</v>
      </c>
      <c r="I10" s="24" t="s">
        <v>455</v>
      </c>
      <c r="J10" s="24" t="s">
        <v>456</v>
      </c>
      <c r="K10" s="24" t="s">
        <v>457</v>
      </c>
      <c r="L10" s="24"/>
    </row>
    <row r="11" customFormat="false" ht="23.85" hidden="false" customHeight="false" outlineLevel="0" collapsed="false">
      <c r="A11" s="26" t="s">
        <v>430</v>
      </c>
      <c r="B11" s="23" t="s">
        <v>458</v>
      </c>
      <c r="C11" s="13" t="str">
        <f aca="false">HYPERLINK("https://www.macvantage.com","www.macvantage.com")</f>
        <v>www.macvantage.com</v>
      </c>
      <c r="D11" s="23" t="s">
        <v>43</v>
      </c>
      <c r="E11" s="24" t="s">
        <v>459</v>
      </c>
      <c r="F11" s="25" t="n">
        <v>1992</v>
      </c>
      <c r="G11" s="23" t="s">
        <v>460</v>
      </c>
      <c r="H11" s="24" t="s">
        <v>461</v>
      </c>
      <c r="I11" s="24" t="s">
        <v>462</v>
      </c>
      <c r="J11" s="24" t="s">
        <v>463</v>
      </c>
      <c r="K11" s="24" t="s">
        <v>464</v>
      </c>
      <c r="L11" s="24" t="s">
        <v>465</v>
      </c>
    </row>
    <row r="12" customFormat="false" ht="23.85" hidden="false" customHeight="false" outlineLevel="0" collapsed="false">
      <c r="A12" s="26" t="s">
        <v>430</v>
      </c>
      <c r="B12" s="23" t="s">
        <v>466</v>
      </c>
      <c r="C12" s="13" t="str">
        <f aca="false">HYPERLINK("https://www.astepaheadit.com","www.astepaheadit.com")</f>
        <v>www.astepaheadit.com</v>
      </c>
      <c r="D12" s="23" t="s">
        <v>467</v>
      </c>
      <c r="E12" s="24" t="s">
        <v>468</v>
      </c>
      <c r="F12" s="25" t="n">
        <v>2016</v>
      </c>
      <c r="G12" s="23" t="s">
        <v>392</v>
      </c>
      <c r="H12" s="24" t="s">
        <v>469</v>
      </c>
      <c r="I12" s="24" t="s">
        <v>470</v>
      </c>
      <c r="J12" s="24" t="s">
        <v>471</v>
      </c>
      <c r="K12" s="24" t="s">
        <v>472</v>
      </c>
      <c r="L12" s="24" t="s">
        <v>473</v>
      </c>
    </row>
    <row r="13" customFormat="false" ht="23.85" hidden="false" customHeight="false" outlineLevel="0" collapsed="false">
      <c r="A13" s="26" t="s">
        <v>430</v>
      </c>
      <c r="B13" s="23" t="s">
        <v>474</v>
      </c>
      <c r="C13" s="13" t="str">
        <f aca="false">HYPERLINK("https://altatech.co","altatech.co")</f>
        <v>altatech.co</v>
      </c>
      <c r="D13" s="23" t="s">
        <v>475</v>
      </c>
      <c r="E13" s="24" t="s">
        <v>476</v>
      </c>
      <c r="F13" s="25" t="n">
        <v>2022</v>
      </c>
      <c r="G13" s="23" t="s">
        <v>477</v>
      </c>
      <c r="H13" s="24" t="s">
        <v>478</v>
      </c>
      <c r="I13" s="24" t="s">
        <v>479</v>
      </c>
      <c r="J13" s="24" t="s">
        <v>480</v>
      </c>
      <c r="K13" s="24" t="s">
        <v>481</v>
      </c>
      <c r="L13" s="24" t="s">
        <v>482</v>
      </c>
    </row>
    <row r="14" customFormat="false" ht="23.85" hidden="false" customHeight="false" outlineLevel="0" collapsed="false">
      <c r="A14" s="26" t="s">
        <v>430</v>
      </c>
      <c r="B14" s="23" t="s">
        <v>483</v>
      </c>
      <c r="C14" s="13" t="str">
        <f aca="false">HYPERLINK("https://pctechnika.com","pctechnika.com")</f>
        <v>pctechnika.com</v>
      </c>
      <c r="D14" s="23" t="s">
        <v>484</v>
      </c>
      <c r="E14" s="24" t="s">
        <v>485</v>
      </c>
      <c r="F14" s="25" t="n">
        <v>2000</v>
      </c>
      <c r="G14" s="23" t="s">
        <v>417</v>
      </c>
      <c r="H14" s="24" t="s">
        <v>486</v>
      </c>
      <c r="I14" s="24" t="s">
        <v>487</v>
      </c>
      <c r="J14" s="24" t="s">
        <v>488</v>
      </c>
      <c r="K14" s="24" t="s">
        <v>489</v>
      </c>
      <c r="L14" s="24"/>
    </row>
    <row r="15" customFormat="false" ht="23.85" hidden="false" customHeight="false" outlineLevel="0" collapsed="false">
      <c r="A15" s="26" t="s">
        <v>430</v>
      </c>
      <c r="B15" s="23" t="s">
        <v>490</v>
      </c>
      <c r="C15" s="13" t="str">
        <f aca="false">HYPERLINK("https://www.computer-therapy.com","www.computer-therapy.com")</f>
        <v>www.computer-therapy.com</v>
      </c>
      <c r="D15" s="23" t="s">
        <v>290</v>
      </c>
      <c r="E15" s="24" t="s">
        <v>491</v>
      </c>
      <c r="F15" s="25" t="n">
        <v>1997</v>
      </c>
      <c r="G15" s="23" t="s">
        <v>417</v>
      </c>
      <c r="H15" s="24" t="s">
        <v>492</v>
      </c>
      <c r="I15" s="24" t="s">
        <v>493</v>
      </c>
      <c r="J15" s="24" t="s">
        <v>494</v>
      </c>
      <c r="K15" s="24" t="s">
        <v>495</v>
      </c>
      <c r="L15" s="24" t="s">
        <v>496</v>
      </c>
    </row>
    <row r="16" customFormat="false" ht="23.85" hidden="false" customHeight="false" outlineLevel="0" collapsed="false">
      <c r="A16" s="27" t="s">
        <v>129</v>
      </c>
      <c r="B16" s="23" t="s">
        <v>497</v>
      </c>
      <c r="C16" s="13" t="str">
        <f aca="false">HYPERLINK("https://techtrekkersraleigh.com","techtrekkersraleigh.com")</f>
        <v>techtrekkersraleigh.com</v>
      </c>
      <c r="D16" s="23" t="s">
        <v>43</v>
      </c>
      <c r="E16" s="24" t="s">
        <v>498</v>
      </c>
      <c r="F16" s="23" t="s">
        <v>499</v>
      </c>
      <c r="G16" s="23" t="s">
        <v>417</v>
      </c>
      <c r="H16" s="24" t="s">
        <v>500</v>
      </c>
      <c r="I16" s="24" t="s">
        <v>501</v>
      </c>
      <c r="J16" s="24" t="s">
        <v>502</v>
      </c>
      <c r="K16" s="24" t="s">
        <v>503</v>
      </c>
      <c r="L16" s="24" t="s">
        <v>504</v>
      </c>
    </row>
    <row r="17" customFormat="false" ht="23.85" hidden="false" customHeight="false" outlineLevel="0" collapsed="false">
      <c r="A17" s="27" t="s">
        <v>129</v>
      </c>
      <c r="B17" s="23" t="s">
        <v>505</v>
      </c>
      <c r="C17" s="13" t="str">
        <f aca="false">HYPERLINK("https://bkregroup.wixsite.com/website","bkregroup.wixsite.com/website")</f>
        <v>bkregroup.wixsite.com/website</v>
      </c>
      <c r="D17" s="23" t="s">
        <v>43</v>
      </c>
      <c r="E17" s="24" t="s">
        <v>506</v>
      </c>
      <c r="F17" s="25" t="n">
        <v>2017</v>
      </c>
      <c r="G17" s="23" t="s">
        <v>417</v>
      </c>
      <c r="H17" s="24" t="s">
        <v>507</v>
      </c>
      <c r="I17" s="24" t="s">
        <v>508</v>
      </c>
      <c r="J17" s="24" t="s">
        <v>509</v>
      </c>
      <c r="K17" s="24" t="s">
        <v>510</v>
      </c>
      <c r="L17" s="24"/>
    </row>
    <row r="18" customFormat="false" ht="23.85" hidden="false" customHeight="false" outlineLevel="0" collapsed="false">
      <c r="A18" s="27" t="s">
        <v>129</v>
      </c>
      <c r="B18" s="23" t="s">
        <v>511</v>
      </c>
      <c r="C18" s="13" t="str">
        <f aca="false">HYPERLINK("http://www.durhamcomputerservices.com","www.durhamcomputerservices.com")</f>
        <v>www.durhamcomputerservices.com</v>
      </c>
      <c r="D18" s="23" t="s">
        <v>74</v>
      </c>
      <c r="E18" s="24" t="s">
        <v>512</v>
      </c>
      <c r="F18" s="23"/>
      <c r="G18" s="23" t="s">
        <v>433</v>
      </c>
      <c r="H18" s="24" t="s">
        <v>513</v>
      </c>
      <c r="I18" s="24" t="s">
        <v>514</v>
      </c>
      <c r="J18" s="24" t="s">
        <v>515</v>
      </c>
      <c r="K18" s="24" t="s">
        <v>516</v>
      </c>
      <c r="L18" s="24" t="s">
        <v>517</v>
      </c>
    </row>
    <row r="19" customFormat="false" ht="15" hidden="false" customHeight="false" outlineLevel="0" collapsed="false">
      <c r="A19" s="27" t="s">
        <v>129</v>
      </c>
      <c r="B19" s="23" t="s">
        <v>518</v>
      </c>
      <c r="C19" s="23"/>
      <c r="D19" s="23" t="s">
        <v>74</v>
      </c>
      <c r="E19" s="24" t="s">
        <v>519</v>
      </c>
      <c r="F19" s="23"/>
      <c r="G19" s="23" t="s">
        <v>433</v>
      </c>
      <c r="H19" s="24" t="s">
        <v>520</v>
      </c>
      <c r="I19" s="24" t="s">
        <v>521</v>
      </c>
      <c r="J19" s="24" t="s">
        <v>52</v>
      </c>
      <c r="K19" s="24" t="s">
        <v>522</v>
      </c>
      <c r="L19" s="24" t="s">
        <v>523</v>
      </c>
    </row>
    <row r="20" customFormat="false" ht="23.85" hidden="false" customHeight="false" outlineLevel="0" collapsed="false">
      <c r="A20" s="27" t="s">
        <v>129</v>
      </c>
      <c r="B20" s="23" t="s">
        <v>524</v>
      </c>
      <c r="C20" s="13" t="str">
        <f aca="false">HYPERLINK("https://nccomputertech.com","nccomputertech.com")</f>
        <v>nccomputertech.com</v>
      </c>
      <c r="D20" s="23" t="s">
        <v>366</v>
      </c>
      <c r="E20" s="24" t="s">
        <v>525</v>
      </c>
      <c r="F20" s="23"/>
      <c r="G20" s="23" t="s">
        <v>433</v>
      </c>
      <c r="H20" s="24" t="s">
        <v>526</v>
      </c>
      <c r="I20" s="24" t="s">
        <v>527</v>
      </c>
      <c r="J20" s="24" t="s">
        <v>528</v>
      </c>
      <c r="K20" s="24" t="s">
        <v>529</v>
      </c>
      <c r="L20" s="24"/>
    </row>
    <row r="21" customFormat="false" ht="15" hidden="false" customHeight="false" outlineLevel="0" collapsed="false">
      <c r="A21" s="27" t="s">
        <v>129</v>
      </c>
      <c r="B21" s="23" t="s">
        <v>530</v>
      </c>
      <c r="C21" s="13" t="str">
        <f aca="false">HYPERLINK("https://www.coveycomputers.com","www.coveycomputers.com")</f>
        <v>www.coveycomputers.com</v>
      </c>
      <c r="D21" s="23" t="s">
        <v>305</v>
      </c>
      <c r="E21" s="24" t="s">
        <v>531</v>
      </c>
      <c r="F21" s="25" t="n">
        <v>2001</v>
      </c>
      <c r="G21" s="23" t="s">
        <v>433</v>
      </c>
      <c r="H21" s="24" t="s">
        <v>532</v>
      </c>
      <c r="I21" s="24" t="s">
        <v>533</v>
      </c>
      <c r="J21" s="24" t="s">
        <v>534</v>
      </c>
      <c r="K21" s="24" t="s">
        <v>535</v>
      </c>
      <c r="L21" s="24" t="s">
        <v>536</v>
      </c>
    </row>
    <row r="22" customFormat="false" ht="23.85" hidden="false" customHeight="false" outlineLevel="0" collapsed="false">
      <c r="A22" s="27" t="s">
        <v>129</v>
      </c>
      <c r="B22" s="23" t="s">
        <v>537</v>
      </c>
      <c r="C22" s="13" t="str">
        <f aca="false">HYPERLINK("https://absolutecomputers.com","absolutecomputers.com")</f>
        <v>absolutecomputers.com</v>
      </c>
      <c r="D22" s="23" t="s">
        <v>538</v>
      </c>
      <c r="E22" s="24" t="s">
        <v>506</v>
      </c>
      <c r="F22" s="25" t="n">
        <v>1998</v>
      </c>
      <c r="G22" s="23" t="s">
        <v>539</v>
      </c>
      <c r="H22" s="24" t="s">
        <v>540</v>
      </c>
      <c r="I22" s="24" t="s">
        <v>541</v>
      </c>
      <c r="J22" s="24" t="s">
        <v>542</v>
      </c>
      <c r="K22" s="24" t="s">
        <v>543</v>
      </c>
      <c r="L22" s="24" t="s">
        <v>544</v>
      </c>
    </row>
    <row r="23" customFormat="false" ht="15" hidden="false" customHeight="false" outlineLevel="0" collapsed="false">
      <c r="A23" s="27" t="s">
        <v>129</v>
      </c>
      <c r="B23" s="23" t="s">
        <v>545</v>
      </c>
      <c r="C23" s="23"/>
      <c r="D23" s="23" t="s">
        <v>546</v>
      </c>
      <c r="E23" s="24" t="s">
        <v>547</v>
      </c>
      <c r="F23" s="23"/>
      <c r="G23" s="23" t="s">
        <v>433</v>
      </c>
      <c r="H23" s="24" t="s">
        <v>548</v>
      </c>
      <c r="I23" s="24" t="s">
        <v>549</v>
      </c>
      <c r="J23" s="24" t="s">
        <v>52</v>
      </c>
      <c r="K23" s="24" t="s">
        <v>550</v>
      </c>
      <c r="L23" s="24" t="s">
        <v>551</v>
      </c>
    </row>
    <row r="24" customFormat="false" ht="15" hidden="false" customHeight="false" outlineLevel="0" collapsed="false">
      <c r="A24" s="27" t="s">
        <v>129</v>
      </c>
      <c r="B24" s="23" t="s">
        <v>552</v>
      </c>
      <c r="C24" s="13" t="str">
        <f aca="false">HYPERLINK("https://viscoreitsolutions.com","viscoreitsolutions.com")</f>
        <v>viscoreitsolutions.com</v>
      </c>
      <c r="D24" s="23" t="s">
        <v>126</v>
      </c>
      <c r="E24" s="24" t="s">
        <v>506</v>
      </c>
      <c r="F24" s="25" t="n">
        <v>2025</v>
      </c>
      <c r="G24" s="23" t="s">
        <v>433</v>
      </c>
      <c r="H24" s="24" t="s">
        <v>553</v>
      </c>
      <c r="I24" s="24" t="s">
        <v>554</v>
      </c>
      <c r="J24" s="24" t="s">
        <v>555</v>
      </c>
      <c r="K24" s="24" t="s">
        <v>556</v>
      </c>
      <c r="L24" s="24"/>
    </row>
    <row r="25" customFormat="false" ht="23.85" hidden="false" customHeight="false" outlineLevel="0" collapsed="false">
      <c r="A25" s="27" t="s">
        <v>129</v>
      </c>
      <c r="B25" s="23" t="s">
        <v>557</v>
      </c>
      <c r="C25" s="13" t="str">
        <f aca="false">HYPERLINK("https://nctriangletech.com","nctriangletech.com")</f>
        <v>nctriangletech.com</v>
      </c>
      <c r="D25" s="23" t="s">
        <v>262</v>
      </c>
      <c r="E25" s="24" t="s">
        <v>558</v>
      </c>
      <c r="F25" s="25" t="n">
        <v>2024</v>
      </c>
      <c r="G25" s="23" t="s">
        <v>539</v>
      </c>
      <c r="H25" s="24" t="s">
        <v>559</v>
      </c>
      <c r="I25" s="24" t="s">
        <v>560</v>
      </c>
      <c r="J25" s="24" t="s">
        <v>561</v>
      </c>
      <c r="K25" s="24" t="s">
        <v>562</v>
      </c>
      <c r="L25" s="24" t="s">
        <v>563</v>
      </c>
    </row>
    <row r="26" customFormat="false" ht="23.85" hidden="false" customHeight="false" outlineLevel="0" collapsed="false">
      <c r="A26" s="28" t="s">
        <v>112</v>
      </c>
      <c r="B26" s="23" t="s">
        <v>564</v>
      </c>
      <c r="C26" s="13" t="str">
        <f aca="false">HYPERLINK("https://www.thecomputercellar.com","www.thecomputercellar.com")</f>
        <v>www.thecomputercellar.com</v>
      </c>
      <c r="D26" s="23" t="s">
        <v>74</v>
      </c>
      <c r="E26" s="24" t="s">
        <v>565</v>
      </c>
      <c r="F26" s="25" t="n">
        <v>2010</v>
      </c>
      <c r="G26" s="23" t="s">
        <v>566</v>
      </c>
      <c r="H26" s="24" t="s">
        <v>567</v>
      </c>
      <c r="I26" s="24" t="s">
        <v>568</v>
      </c>
      <c r="J26" s="24" t="s">
        <v>569</v>
      </c>
      <c r="K26" s="24" t="s">
        <v>570</v>
      </c>
      <c r="L26" s="24" t="s">
        <v>571</v>
      </c>
    </row>
    <row r="28" customFormat="false" ht="15" hidden="false" customHeight="false" outlineLevel="0" collapsed="false">
      <c r="A28" s="29" t="s">
        <v>572</v>
      </c>
    </row>
    <row r="29" customFormat="false" ht="15" hidden="false" customHeight="false" outlineLevel="0" collapsed="false">
      <c r="A29" s="30" t="s">
        <v>573</v>
      </c>
    </row>
    <row r="30" customFormat="false" ht="15" hidden="false" customHeight="false" outlineLevel="0" collapsed="false">
      <c r="A30" s="30" t="s">
        <v>574</v>
      </c>
    </row>
  </sheetData>
  <autoFilter ref="A1:L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34"/>
    <col collapsed="false" customWidth="true" hidden="false" outlineLevel="0" max="5" min="5" style="0" width="36"/>
    <col collapsed="false" customWidth="true" hidden="false" outlineLevel="0" max="6" min="6" style="0" width="40"/>
    <col collapsed="false" customWidth="true" hidden="false" outlineLevel="0" max="7" min="7" style="0" width="44"/>
    <col collapsed="false" customWidth="true" hidden="false" outlineLevel="0" max="8" min="8" style="0" width="46"/>
    <col collapsed="false" customWidth="true" hidden="false" outlineLevel="0" max="9" min="9" style="0" width="30"/>
  </cols>
  <sheetData>
    <row r="1" customFormat="false" ht="27.75" hidden="false" customHeight="true" outlineLevel="0" collapsed="false">
      <c r="A1" s="1" t="s">
        <v>575</v>
      </c>
      <c r="B1" s="1" t="s">
        <v>576</v>
      </c>
      <c r="C1" s="1" t="s">
        <v>2</v>
      </c>
      <c r="D1" s="1" t="s">
        <v>577</v>
      </c>
      <c r="E1" s="1" t="s">
        <v>578</v>
      </c>
      <c r="F1" s="1" t="s">
        <v>579</v>
      </c>
      <c r="G1" s="1" t="s">
        <v>580</v>
      </c>
      <c r="H1" s="1" t="s">
        <v>581</v>
      </c>
      <c r="I1" s="1" t="s">
        <v>582</v>
      </c>
    </row>
    <row r="2" customFormat="false" ht="23.85" hidden="false" customHeight="false" outlineLevel="0" collapsed="false">
      <c r="A2" s="31" t="s">
        <v>583</v>
      </c>
      <c r="B2" s="31" t="s">
        <v>584</v>
      </c>
      <c r="C2" s="8" t="str">
        <f aca="false">HYPERLINK("https://katalystng.com","katalystng.com")</f>
        <v>katalystng.com</v>
      </c>
      <c r="D2" s="32" t="s">
        <v>585</v>
      </c>
      <c r="E2" s="32" t="s">
        <v>586</v>
      </c>
      <c r="F2" s="32" t="s">
        <v>587</v>
      </c>
      <c r="G2" s="32" t="s">
        <v>588</v>
      </c>
      <c r="H2" s="32" t="s">
        <v>589</v>
      </c>
      <c r="I2" s="32" t="s">
        <v>590</v>
      </c>
    </row>
    <row r="3" customFormat="false" ht="23.85" hidden="false" customHeight="false" outlineLevel="0" collapsed="false">
      <c r="A3" s="31" t="s">
        <v>591</v>
      </c>
      <c r="B3" s="31" t="s">
        <v>592</v>
      </c>
      <c r="C3" s="8" t="str">
        <f aca="false">HYPERLINK("https://harborit.com","harborit.com")</f>
        <v>harborit.com</v>
      </c>
      <c r="D3" s="32" t="s">
        <v>593</v>
      </c>
      <c r="E3" s="32" t="s">
        <v>594</v>
      </c>
      <c r="F3" s="32" t="s">
        <v>595</v>
      </c>
      <c r="G3" s="32" t="s">
        <v>596</v>
      </c>
      <c r="H3" s="32" t="s">
        <v>597</v>
      </c>
      <c r="I3" s="32" t="s">
        <v>598</v>
      </c>
    </row>
    <row r="4" customFormat="false" ht="23.85" hidden="false" customHeight="false" outlineLevel="0" collapsed="false">
      <c r="A4" s="31" t="s">
        <v>599</v>
      </c>
      <c r="B4" s="31" t="s">
        <v>600</v>
      </c>
      <c r="C4" s="8" t="str">
        <f aca="false">HYPERLINK("https://www.itsolutions-inc.com","www.itsolutions-inc.com")</f>
        <v>www.itsolutions-inc.com</v>
      </c>
      <c r="D4" s="32" t="s">
        <v>601</v>
      </c>
      <c r="E4" s="32" t="s">
        <v>602</v>
      </c>
      <c r="F4" s="32" t="s">
        <v>603</v>
      </c>
      <c r="G4" s="32" t="s">
        <v>604</v>
      </c>
      <c r="H4" s="32" t="s">
        <v>605</v>
      </c>
      <c r="I4" s="32" t="s">
        <v>606</v>
      </c>
    </row>
    <row r="5" customFormat="false" ht="23.85" hidden="false" customHeight="false" outlineLevel="0" collapsed="false">
      <c r="A5" s="31" t="s">
        <v>607</v>
      </c>
      <c r="B5" s="31" t="s">
        <v>608</v>
      </c>
      <c r="C5" s="8" t="str">
        <f aca="false">HYPERLINK("https://www.evergreensg.com","www.evergreensg.com")</f>
        <v>www.evergreensg.com</v>
      </c>
      <c r="D5" s="32" t="s">
        <v>609</v>
      </c>
      <c r="E5" s="32" t="s">
        <v>610</v>
      </c>
      <c r="F5" s="32" t="s">
        <v>611</v>
      </c>
      <c r="G5" s="32" t="s">
        <v>612</v>
      </c>
      <c r="H5" s="32" t="s">
        <v>613</v>
      </c>
      <c r="I5" s="32" t="s">
        <v>614</v>
      </c>
    </row>
    <row r="6" customFormat="false" ht="23.85" hidden="false" customHeight="false" outlineLevel="0" collapsed="false">
      <c r="A6" s="31" t="s">
        <v>615</v>
      </c>
      <c r="B6" s="31" t="s">
        <v>616</v>
      </c>
      <c r="C6" s="8" t="str">
        <f aca="false">HYPERLINK("https://cyberadvisors.com","cyberadvisors.com")</f>
        <v>cyberadvisors.com</v>
      </c>
      <c r="D6" s="32" t="s">
        <v>617</v>
      </c>
      <c r="E6" s="32" t="s">
        <v>618</v>
      </c>
      <c r="F6" s="32" t="s">
        <v>619</v>
      </c>
      <c r="G6" s="32" t="s">
        <v>620</v>
      </c>
      <c r="H6" s="32" t="s">
        <v>621</v>
      </c>
      <c r="I6" s="32" t="s">
        <v>606</v>
      </c>
    </row>
    <row r="7" customFormat="false" ht="23.85" hidden="false" customHeight="false" outlineLevel="0" collapsed="false">
      <c r="A7" s="31" t="s">
        <v>622</v>
      </c>
      <c r="B7" s="31" t="s">
        <v>623</v>
      </c>
      <c r="C7" s="8" t="str">
        <f aca="false">HYPERLINK("https://www.the20msp.com","www.the20msp.com")</f>
        <v>www.the20msp.com</v>
      </c>
      <c r="D7" s="32" t="s">
        <v>624</v>
      </c>
      <c r="E7" s="32" t="s">
        <v>625</v>
      </c>
      <c r="F7" s="32" t="s">
        <v>626</v>
      </c>
      <c r="G7" s="32" t="s">
        <v>627</v>
      </c>
      <c r="H7" s="32" t="s">
        <v>628</v>
      </c>
      <c r="I7" s="32" t="s">
        <v>629</v>
      </c>
    </row>
    <row r="8" customFormat="false" ht="35.05" hidden="false" customHeight="false" outlineLevel="0" collapsed="false">
      <c r="A8" s="31" t="s">
        <v>192</v>
      </c>
      <c r="B8" s="31" t="s">
        <v>630</v>
      </c>
      <c r="C8" s="8" t="str">
        <f aca="false">HYPERLINK("https://www.worksmart.com","www.worksmart.com")</f>
        <v>www.worksmart.com</v>
      </c>
      <c r="D8" s="32" t="s">
        <v>631</v>
      </c>
      <c r="E8" s="32" t="s">
        <v>632</v>
      </c>
      <c r="F8" s="32" t="s">
        <v>633</v>
      </c>
      <c r="G8" s="32" t="s">
        <v>634</v>
      </c>
      <c r="H8" s="32" t="s">
        <v>635</v>
      </c>
      <c r="I8" s="32" t="s">
        <v>636</v>
      </c>
    </row>
    <row r="9" customFormat="false" ht="23.85" hidden="false" customHeight="false" outlineLevel="0" collapsed="false">
      <c r="A9" s="31" t="s">
        <v>637</v>
      </c>
      <c r="B9" s="31" t="s">
        <v>638</v>
      </c>
      <c r="C9" s="8" t="str">
        <f aca="false">HYPERLINK("https://www.netgainit.com","www.netgainit.com")</f>
        <v>www.netgainit.com</v>
      </c>
      <c r="D9" s="32" t="s">
        <v>639</v>
      </c>
      <c r="E9" s="32" t="s">
        <v>640</v>
      </c>
      <c r="F9" s="32" t="s">
        <v>641</v>
      </c>
      <c r="G9" s="32" t="s">
        <v>642</v>
      </c>
      <c r="H9" s="32" t="s">
        <v>643</v>
      </c>
      <c r="I9" s="32" t="s">
        <v>644</v>
      </c>
    </row>
    <row r="10" customFormat="false" ht="23.85" hidden="false" customHeight="false" outlineLevel="0" collapsed="false">
      <c r="A10" s="31" t="s">
        <v>645</v>
      </c>
      <c r="B10" s="31" t="s">
        <v>646</v>
      </c>
      <c r="C10" s="8" t="str">
        <f aca="false">HYPERLINK("https://arktci.com","arktci.com")</f>
        <v>arktci.com</v>
      </c>
      <c r="D10" s="32" t="s">
        <v>647</v>
      </c>
      <c r="E10" s="32" t="s">
        <v>648</v>
      </c>
      <c r="F10" s="32" t="s">
        <v>649</v>
      </c>
      <c r="G10" s="32" t="s">
        <v>650</v>
      </c>
      <c r="H10" s="32" t="s">
        <v>651</v>
      </c>
      <c r="I10" s="32" t="s">
        <v>652</v>
      </c>
    </row>
    <row r="11" customFormat="false" ht="23.85" hidden="false" customHeight="false" outlineLevel="0" collapsed="false">
      <c r="A11" s="31" t="s">
        <v>653</v>
      </c>
      <c r="B11" s="31" t="s">
        <v>654</v>
      </c>
      <c r="C11" s="8" t="str">
        <f aca="false">HYPERLINK("https://tbstechnow.com","tbstechnow.com")</f>
        <v>tbstechnow.com</v>
      </c>
      <c r="D11" s="32" t="s">
        <v>655</v>
      </c>
      <c r="E11" s="32" t="s">
        <v>83</v>
      </c>
      <c r="F11" s="32" t="s">
        <v>656</v>
      </c>
      <c r="G11" s="32" t="s">
        <v>657</v>
      </c>
      <c r="H11" s="32" t="s">
        <v>658</v>
      </c>
      <c r="I11" s="32" t="s">
        <v>659</v>
      </c>
    </row>
    <row r="12" customFormat="false" ht="23.85" hidden="false" customHeight="false" outlineLevel="0" collapsed="false">
      <c r="A12" s="31" t="s">
        <v>660</v>
      </c>
      <c r="B12" s="31" t="s">
        <v>661</v>
      </c>
      <c r="C12" s="8" t="str">
        <f aca="false">HYPERLINK("https://itpartners.com","itpartners.com")</f>
        <v>itpartners.com</v>
      </c>
      <c r="D12" s="32" t="s">
        <v>662</v>
      </c>
      <c r="E12" s="32" t="s">
        <v>663</v>
      </c>
      <c r="F12" s="32" t="s">
        <v>664</v>
      </c>
      <c r="G12" s="32" t="s">
        <v>665</v>
      </c>
      <c r="H12" s="32" t="s">
        <v>666</v>
      </c>
      <c r="I12" s="32" t="s">
        <v>606</v>
      </c>
    </row>
    <row r="13" customFormat="false" ht="23.85" hidden="false" customHeight="false" outlineLevel="0" collapsed="false">
      <c r="A13" s="31" t="s">
        <v>667</v>
      </c>
      <c r="B13" s="31" t="s">
        <v>668</v>
      </c>
      <c r="C13" s="8" t="str">
        <f aca="false">HYPERLINK("https://www.logically.com","www.logically.com")</f>
        <v>www.logically.com</v>
      </c>
      <c r="D13" s="32" t="s">
        <v>669</v>
      </c>
      <c r="E13" s="32" t="s">
        <v>670</v>
      </c>
      <c r="F13" s="32" t="s">
        <v>671</v>
      </c>
      <c r="G13" s="32" t="s">
        <v>672</v>
      </c>
      <c r="H13" s="32" t="s">
        <v>673</v>
      </c>
      <c r="I13" s="32" t="s">
        <v>674</v>
      </c>
    </row>
    <row r="14" customFormat="false" ht="35.05" hidden="false" customHeight="false" outlineLevel="0" collapsed="false">
      <c r="A14" s="31" t="s">
        <v>675</v>
      </c>
      <c r="B14" s="31" t="s">
        <v>676</v>
      </c>
      <c r="C14" s="8" t="str">
        <f aca="false">HYPERLINK("https://www.magna5.com","www.magna5.com")</f>
        <v>www.magna5.com</v>
      </c>
      <c r="D14" s="32" t="s">
        <v>669</v>
      </c>
      <c r="E14" s="32" t="s">
        <v>677</v>
      </c>
      <c r="F14" s="32" t="s">
        <v>678</v>
      </c>
      <c r="G14" s="32" t="s">
        <v>679</v>
      </c>
      <c r="H14" s="32" t="s">
        <v>680</v>
      </c>
      <c r="I14" s="32" t="s">
        <v>681</v>
      </c>
    </row>
    <row r="15" customFormat="false" ht="23.85" hidden="false" customHeight="false" outlineLevel="0" collapsed="false">
      <c r="A15" s="31" t="s">
        <v>682</v>
      </c>
      <c r="B15" s="31" t="s">
        <v>683</v>
      </c>
      <c r="C15" s="8" t="str">
        <f aca="false">HYPERLINK("https://www.teamlogicit.com","www.teamlogicit.com")</f>
        <v>www.teamlogicit.com</v>
      </c>
      <c r="D15" s="32" t="s">
        <v>684</v>
      </c>
      <c r="E15" s="32" t="s">
        <v>685</v>
      </c>
      <c r="F15" s="32" t="s">
        <v>686</v>
      </c>
      <c r="G15" s="32" t="s">
        <v>687</v>
      </c>
      <c r="H15" s="32" t="s">
        <v>688</v>
      </c>
      <c r="I15" s="32" t="s">
        <v>689</v>
      </c>
    </row>
    <row r="16" customFormat="false" ht="23.85" hidden="false" customHeight="false" outlineLevel="0" collapsed="false">
      <c r="A16" s="23" t="s">
        <v>690</v>
      </c>
      <c r="B16" s="23" t="s">
        <v>691</v>
      </c>
      <c r="C16" s="13" t="str">
        <f aca="false">HYPERLINK("https://www.newchartertech.com","www.newchartertech.com")</f>
        <v>www.newchartertech.com</v>
      </c>
      <c r="D16" s="24" t="s">
        <v>692</v>
      </c>
      <c r="E16" s="24" t="s">
        <v>693</v>
      </c>
      <c r="F16" s="24" t="s">
        <v>694</v>
      </c>
      <c r="G16" s="24" t="s">
        <v>695</v>
      </c>
      <c r="H16" s="24" t="s">
        <v>696</v>
      </c>
      <c r="I16" s="24" t="s">
        <v>606</v>
      </c>
    </row>
    <row r="17" customFormat="false" ht="23.85" hidden="false" customHeight="false" outlineLevel="0" collapsed="false">
      <c r="A17" s="23" t="s">
        <v>697</v>
      </c>
      <c r="B17" s="23" t="s">
        <v>698</v>
      </c>
      <c r="C17" s="13" t="str">
        <f aca="false">HYPERLINK("https://thrivenextgen.com","thrivenextgen.com")</f>
        <v>thrivenextgen.com</v>
      </c>
      <c r="D17" s="24" t="s">
        <v>699</v>
      </c>
      <c r="E17" s="24" t="s">
        <v>700</v>
      </c>
      <c r="F17" s="24" t="s">
        <v>701</v>
      </c>
      <c r="G17" s="24" t="s">
        <v>702</v>
      </c>
      <c r="H17" s="24" t="s">
        <v>703</v>
      </c>
      <c r="I17" s="24" t="s">
        <v>606</v>
      </c>
    </row>
    <row r="18" customFormat="false" ht="23.85" hidden="false" customHeight="false" outlineLevel="0" collapsed="false">
      <c r="A18" s="23" t="s">
        <v>704</v>
      </c>
      <c r="B18" s="23" t="s">
        <v>705</v>
      </c>
      <c r="C18" s="13" t="str">
        <f aca="false">HYPERLINK("https://www.ntiva.com","www.ntiva.com")</f>
        <v>www.ntiva.com</v>
      </c>
      <c r="D18" s="24" t="s">
        <v>669</v>
      </c>
      <c r="E18" s="24" t="s">
        <v>706</v>
      </c>
      <c r="F18" s="24" t="s">
        <v>707</v>
      </c>
      <c r="G18" s="24" t="s">
        <v>708</v>
      </c>
      <c r="H18" s="24" t="s">
        <v>709</v>
      </c>
      <c r="I18" s="24" t="s">
        <v>606</v>
      </c>
    </row>
    <row r="19" customFormat="false" ht="15" hidden="false" customHeight="false" outlineLevel="0" collapsed="false">
      <c r="A19" s="23" t="s">
        <v>710</v>
      </c>
      <c r="B19" s="23" t="s">
        <v>711</v>
      </c>
      <c r="C19" s="13" t="str">
        <f aca="false">HYPERLINK("https://www.vc3.com","www.vc3.com")</f>
        <v>www.vc3.com</v>
      </c>
      <c r="D19" s="24" t="s">
        <v>669</v>
      </c>
      <c r="E19" s="24" t="s">
        <v>712</v>
      </c>
      <c r="F19" s="24" t="s">
        <v>713</v>
      </c>
      <c r="G19" s="24" t="s">
        <v>714</v>
      </c>
      <c r="H19" s="24" t="s">
        <v>715</v>
      </c>
      <c r="I19" s="24" t="s">
        <v>716</v>
      </c>
    </row>
    <row r="20" customFormat="false" ht="23.85" hidden="false" customHeight="false" outlineLevel="0" collapsed="false">
      <c r="A20" s="23" t="s">
        <v>717</v>
      </c>
      <c r="B20" s="23" t="s">
        <v>718</v>
      </c>
      <c r="C20" s="13" t="str">
        <f aca="false">HYPERLINK("https://integrisit.com","integrisit.com")</f>
        <v>integrisit.com</v>
      </c>
      <c r="D20" s="24" t="s">
        <v>669</v>
      </c>
      <c r="E20" s="24" t="s">
        <v>719</v>
      </c>
      <c r="F20" s="24" t="s">
        <v>720</v>
      </c>
      <c r="G20" s="24" t="s">
        <v>721</v>
      </c>
      <c r="H20" s="24" t="s">
        <v>722</v>
      </c>
      <c r="I20" s="24" t="s">
        <v>606</v>
      </c>
    </row>
    <row r="21" customFormat="false" ht="23.85" hidden="false" customHeight="false" outlineLevel="0" collapsed="false">
      <c r="A21" s="23" t="s">
        <v>723</v>
      </c>
      <c r="B21" s="23" t="s">
        <v>724</v>
      </c>
      <c r="C21" s="13" t="str">
        <f aca="false">HYPERLINK("https://www.sourcepass.com","www.sourcepass.com")</f>
        <v>www.sourcepass.com</v>
      </c>
      <c r="D21" s="24" t="s">
        <v>725</v>
      </c>
      <c r="E21" s="24" t="s">
        <v>726</v>
      </c>
      <c r="F21" s="24" t="s">
        <v>727</v>
      </c>
      <c r="G21" s="24" t="s">
        <v>728</v>
      </c>
      <c r="H21" s="24" t="s">
        <v>729</v>
      </c>
      <c r="I21" s="24" t="s">
        <v>606</v>
      </c>
    </row>
    <row r="22" customFormat="false" ht="23.85" hidden="false" customHeight="false" outlineLevel="0" collapsed="false">
      <c r="A22" s="23" t="s">
        <v>730</v>
      </c>
      <c r="B22" s="23" t="s">
        <v>731</v>
      </c>
      <c r="C22" s="13" t="str">
        <f aca="false">HYPERLINK("https://www.dataprise.com","www.dataprise.com")</f>
        <v>www.dataprise.com</v>
      </c>
      <c r="D22" s="24" t="s">
        <v>669</v>
      </c>
      <c r="E22" s="24" t="s">
        <v>732</v>
      </c>
      <c r="F22" s="24" t="s">
        <v>733</v>
      </c>
      <c r="G22" s="24" t="s">
        <v>734</v>
      </c>
      <c r="H22" s="24" t="s">
        <v>735</v>
      </c>
      <c r="I22" s="24" t="s">
        <v>736</v>
      </c>
    </row>
    <row r="23" customFormat="false" ht="15" hidden="false" customHeight="false" outlineLevel="0" collapsed="false">
      <c r="A23" s="23" t="s">
        <v>737</v>
      </c>
      <c r="B23" s="23" t="s">
        <v>738</v>
      </c>
      <c r="C23" s="13" t="str">
        <f aca="false">HYPERLINK("https://corsicatech.com","corsicatech.com")</f>
        <v>corsicatech.com</v>
      </c>
      <c r="D23" s="24" t="s">
        <v>739</v>
      </c>
      <c r="E23" s="24" t="s">
        <v>740</v>
      </c>
      <c r="F23" s="24" t="s">
        <v>741</v>
      </c>
      <c r="G23" s="24" t="s">
        <v>742</v>
      </c>
      <c r="H23" s="24" t="s">
        <v>743</v>
      </c>
      <c r="I23" s="24" t="s">
        <v>606</v>
      </c>
    </row>
    <row r="24" customFormat="false" ht="15" hidden="false" customHeight="false" outlineLevel="0" collapsed="false">
      <c r="A24" s="23" t="s">
        <v>744</v>
      </c>
      <c r="B24" s="23" t="s">
        <v>745</v>
      </c>
      <c r="C24" s="13" t="str">
        <f aca="false">HYPERLINK("https://meriplex.com","meriplex.com")</f>
        <v>meriplex.com</v>
      </c>
      <c r="D24" s="24" t="s">
        <v>669</v>
      </c>
      <c r="E24" s="24" t="s">
        <v>746</v>
      </c>
      <c r="F24" s="24" t="s">
        <v>747</v>
      </c>
      <c r="G24" s="24" t="s">
        <v>748</v>
      </c>
      <c r="H24" s="24" t="s">
        <v>749</v>
      </c>
      <c r="I24" s="24" t="s">
        <v>750</v>
      </c>
    </row>
    <row r="26" customFormat="false" ht="15" hidden="false" customHeight="false" outlineLevel="0" collapsed="false">
      <c r="A26" s="33" t="s">
        <v>751</v>
      </c>
    </row>
    <row r="27" customFormat="false" ht="15" hidden="false" customHeight="false" outlineLevel="0" collapsed="false">
      <c r="A27" s="34" t="s">
        <v>752</v>
      </c>
    </row>
    <row r="28" customFormat="false" ht="15" hidden="false" customHeight="false" outlineLevel="0" collapsed="false">
      <c r="A28" s="34" t="s">
        <v>753</v>
      </c>
    </row>
    <row r="29" customFormat="false" ht="15" hidden="false" customHeight="false" outlineLevel="0" collapsed="false">
      <c r="A29" s="34" t="s">
        <v>754</v>
      </c>
    </row>
    <row r="30" customFormat="false" ht="15" hidden="false" customHeight="false" outlineLevel="0" collapsed="false">
      <c r="A30" s="34" t="s">
        <v>755</v>
      </c>
    </row>
    <row r="31" customFormat="false" ht="15" hidden="false" customHeight="false" outlineLevel="0" collapsed="false">
      <c r="A31" s="34" t="s">
        <v>756</v>
      </c>
    </row>
    <row r="32" customFormat="false" ht="15" hidden="false" customHeight="false" outlineLevel="0" collapsed="false">
      <c r="A32" s="34"/>
    </row>
    <row r="33" customFormat="false" ht="15" hidden="false" customHeight="false" outlineLevel="0" collapsed="false">
      <c r="A33" s="33" t="s">
        <v>757</v>
      </c>
    </row>
  </sheetData>
  <autoFilter ref="A1:I2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30"/>
    <col collapsed="false" customWidth="true" hidden="false" outlineLevel="0" max="3" min="3" style="0" width="9"/>
    <col collapsed="false" customWidth="true" hidden="false" outlineLevel="0" max="4" min="4" style="0" width="30"/>
    <col collapsed="false" customWidth="true" hidden="false" outlineLevel="0" max="5" min="5" style="0" width="34"/>
    <col collapsed="false" customWidth="true" hidden="false" outlineLevel="0" max="6" min="6" style="0" width="26"/>
    <col collapsed="false" customWidth="true" hidden="false" outlineLevel="0" max="7" min="7" style="0" width="10"/>
    <col collapsed="false" customWidth="true" hidden="false" outlineLevel="0" max="8" min="8" style="0" width="44"/>
  </cols>
  <sheetData>
    <row r="1" customFormat="false" ht="15" hidden="false" customHeight="false" outlineLevel="0" collapsed="false">
      <c r="A1" s="35" t="s">
        <v>758</v>
      </c>
      <c r="B1" s="35" t="s">
        <v>576</v>
      </c>
      <c r="C1" s="35" t="s">
        <v>4</v>
      </c>
      <c r="D1" s="35" t="s">
        <v>759</v>
      </c>
      <c r="E1" s="35" t="s">
        <v>760</v>
      </c>
      <c r="F1" s="35" t="s">
        <v>761</v>
      </c>
      <c r="G1" s="35" t="s">
        <v>762</v>
      </c>
      <c r="H1" s="35" t="s">
        <v>763</v>
      </c>
    </row>
    <row r="2" customFormat="false" ht="15" hidden="false" customHeight="false" outlineLevel="0" collapsed="false">
      <c r="A2" s="24" t="s">
        <v>764</v>
      </c>
      <c r="B2" s="24" t="s">
        <v>765</v>
      </c>
      <c r="C2" s="36" t="n">
        <v>2011</v>
      </c>
      <c r="D2" s="24" t="s">
        <v>766</v>
      </c>
      <c r="E2" s="24" t="s">
        <v>767</v>
      </c>
      <c r="F2" s="24" t="s">
        <v>768</v>
      </c>
      <c r="G2" s="24" t="s">
        <v>769</v>
      </c>
      <c r="H2" s="24" t="s">
        <v>770</v>
      </c>
    </row>
    <row r="3" customFormat="false" ht="23.85" hidden="false" customHeight="false" outlineLevel="0" collapsed="false">
      <c r="A3" s="24" t="s">
        <v>771</v>
      </c>
      <c r="B3" s="24" t="s">
        <v>280</v>
      </c>
      <c r="C3" s="36" t="n">
        <v>1990</v>
      </c>
      <c r="D3" s="24" t="s">
        <v>772</v>
      </c>
      <c r="E3" s="24" t="s">
        <v>773</v>
      </c>
      <c r="F3" s="24" t="s">
        <v>774</v>
      </c>
      <c r="G3" s="24" t="s">
        <v>775</v>
      </c>
      <c r="H3" s="24" t="s">
        <v>776</v>
      </c>
    </row>
    <row r="4" customFormat="false" ht="23.85" hidden="false" customHeight="false" outlineLevel="0" collapsed="false">
      <c r="A4" s="24" t="s">
        <v>272</v>
      </c>
      <c r="B4" s="24" t="s">
        <v>43</v>
      </c>
      <c r="C4" s="36" t="n">
        <v>1997</v>
      </c>
      <c r="D4" s="24" t="s">
        <v>777</v>
      </c>
      <c r="E4" s="24" t="s">
        <v>778</v>
      </c>
      <c r="F4" s="24" t="s">
        <v>779</v>
      </c>
      <c r="G4" s="24" t="s">
        <v>780</v>
      </c>
      <c r="H4" s="24" t="s">
        <v>781</v>
      </c>
    </row>
    <row r="5" customFormat="false" ht="15" hidden="false" customHeight="false" outlineLevel="0" collapsed="false">
      <c r="A5" s="24" t="s">
        <v>782</v>
      </c>
      <c r="B5" s="24" t="s">
        <v>783</v>
      </c>
      <c r="C5" s="36" t="n">
        <v>1998</v>
      </c>
      <c r="D5" s="24" t="s">
        <v>784</v>
      </c>
      <c r="E5" s="24" t="s">
        <v>785</v>
      </c>
      <c r="F5" s="24" t="s">
        <v>786</v>
      </c>
      <c r="G5" s="24" t="s">
        <v>787</v>
      </c>
      <c r="H5" s="24" t="s">
        <v>788</v>
      </c>
    </row>
    <row r="6" customFormat="false" ht="23.85" hidden="false" customHeight="false" outlineLevel="0" collapsed="false">
      <c r="A6" s="24" t="s">
        <v>108</v>
      </c>
      <c r="B6" s="24" t="s">
        <v>74</v>
      </c>
      <c r="C6" s="36" t="n">
        <v>2004</v>
      </c>
      <c r="D6" s="24" t="s">
        <v>789</v>
      </c>
      <c r="E6" s="24" t="s">
        <v>790</v>
      </c>
      <c r="F6" s="24" t="s">
        <v>791</v>
      </c>
      <c r="G6" s="24" t="s">
        <v>792</v>
      </c>
      <c r="H6" s="24" t="s">
        <v>793</v>
      </c>
    </row>
    <row r="7" customFormat="false" ht="15" hidden="false" customHeight="false" outlineLevel="0" collapsed="false">
      <c r="A7" s="24" t="s">
        <v>564</v>
      </c>
      <c r="B7" s="24" t="s">
        <v>74</v>
      </c>
      <c r="C7" s="36" t="n">
        <v>2010</v>
      </c>
      <c r="D7" s="24" t="s">
        <v>794</v>
      </c>
      <c r="E7" s="24" t="s">
        <v>795</v>
      </c>
      <c r="F7" s="24" t="s">
        <v>796</v>
      </c>
      <c r="G7" s="24" t="s">
        <v>797</v>
      </c>
      <c r="H7" s="24" t="s">
        <v>798</v>
      </c>
    </row>
    <row r="8" customFormat="false" ht="15" hidden="false" customHeight="false" outlineLevel="0" collapsed="false">
      <c r="A8" s="24" t="s">
        <v>799</v>
      </c>
      <c r="B8" s="24" t="s">
        <v>800</v>
      </c>
      <c r="C8" s="24"/>
      <c r="D8" s="24" t="s">
        <v>801</v>
      </c>
      <c r="E8" s="24" t="s">
        <v>802</v>
      </c>
      <c r="F8" s="24" t="s">
        <v>803</v>
      </c>
      <c r="G8" s="24" t="s">
        <v>804</v>
      </c>
      <c r="H8" s="24" t="s">
        <v>805</v>
      </c>
    </row>
    <row r="9" customFormat="false" ht="15" hidden="false" customHeight="false" outlineLevel="0" collapsed="false">
      <c r="A9" s="24" t="s">
        <v>806</v>
      </c>
      <c r="B9" s="24" t="s">
        <v>807</v>
      </c>
      <c r="C9" s="24"/>
      <c r="D9" s="24" t="s">
        <v>808</v>
      </c>
      <c r="E9" s="24" t="s">
        <v>809</v>
      </c>
      <c r="F9" s="24" t="s">
        <v>662</v>
      </c>
      <c r="G9" s="24" t="s">
        <v>804</v>
      </c>
      <c r="H9" s="24" t="s">
        <v>810</v>
      </c>
    </row>
    <row r="10" customFormat="false" ht="15" hidden="false" customHeight="false" outlineLevel="0" collapsed="false">
      <c r="A10" s="24" t="s">
        <v>811</v>
      </c>
      <c r="B10" s="24" t="s">
        <v>305</v>
      </c>
      <c r="C10" s="36" t="n">
        <v>2014</v>
      </c>
      <c r="D10" s="24" t="s">
        <v>812</v>
      </c>
      <c r="E10" s="24" t="s">
        <v>813</v>
      </c>
      <c r="F10" s="24" t="s">
        <v>647</v>
      </c>
      <c r="G10" s="24" t="s">
        <v>814</v>
      </c>
      <c r="H10" s="24" t="s">
        <v>815</v>
      </c>
    </row>
    <row r="11" customFormat="false" ht="15" hidden="false" customHeight="false" outlineLevel="0" collapsed="false">
      <c r="A11" s="24" t="s">
        <v>816</v>
      </c>
      <c r="B11" s="24" t="s">
        <v>175</v>
      </c>
      <c r="C11" s="36" t="n">
        <v>1995</v>
      </c>
      <c r="D11" s="24" t="s">
        <v>817</v>
      </c>
      <c r="E11" s="24" t="s">
        <v>818</v>
      </c>
      <c r="F11" s="24" t="s">
        <v>819</v>
      </c>
      <c r="G11" s="24" t="s">
        <v>820</v>
      </c>
      <c r="H11" s="24" t="s">
        <v>821</v>
      </c>
    </row>
    <row r="12" customFormat="false" ht="15" hidden="false" customHeight="false" outlineLevel="0" collapsed="false">
      <c r="A12" s="24" t="s">
        <v>332</v>
      </c>
      <c r="B12" s="24" t="s">
        <v>43</v>
      </c>
      <c r="C12" s="24"/>
      <c r="D12" s="24" t="s">
        <v>822</v>
      </c>
      <c r="E12" s="24" t="s">
        <v>823</v>
      </c>
      <c r="F12" s="24" t="s">
        <v>824</v>
      </c>
      <c r="G12" s="24" t="s">
        <v>825</v>
      </c>
      <c r="H12" s="24" t="s">
        <v>826</v>
      </c>
    </row>
    <row r="13" customFormat="false" ht="15" hidden="false" customHeight="false" outlineLevel="0" collapsed="false">
      <c r="A13" s="24" t="s">
        <v>827</v>
      </c>
      <c r="B13" s="24" t="s">
        <v>828</v>
      </c>
      <c r="C13" s="24"/>
      <c r="D13" s="24" t="s">
        <v>829</v>
      </c>
      <c r="E13" s="24" t="s">
        <v>675</v>
      </c>
      <c r="F13" s="24" t="s">
        <v>669</v>
      </c>
      <c r="G13" s="24" t="s">
        <v>830</v>
      </c>
      <c r="H13" s="24" t="s">
        <v>831</v>
      </c>
    </row>
    <row r="14" customFormat="false" ht="15" hidden="false" customHeight="false" outlineLevel="0" collapsed="false">
      <c r="A14" s="24" t="s">
        <v>832</v>
      </c>
      <c r="B14" s="24" t="s">
        <v>833</v>
      </c>
      <c r="C14" s="24"/>
      <c r="D14" s="24" t="s">
        <v>834</v>
      </c>
      <c r="E14" s="24" t="s">
        <v>835</v>
      </c>
      <c r="F14" s="24" t="s">
        <v>836</v>
      </c>
      <c r="G14" s="24" t="s">
        <v>837</v>
      </c>
      <c r="H14" s="24" t="s">
        <v>838</v>
      </c>
    </row>
    <row r="15" customFormat="false" ht="15" hidden="false" customHeight="false" outlineLevel="0" collapsed="false">
      <c r="A15" s="24" t="s">
        <v>839</v>
      </c>
      <c r="B15" s="24" t="s">
        <v>74</v>
      </c>
      <c r="C15" s="36" t="n">
        <v>1997</v>
      </c>
      <c r="D15" s="24" t="s">
        <v>840</v>
      </c>
      <c r="E15" s="24" t="s">
        <v>841</v>
      </c>
      <c r="F15" s="24" t="s">
        <v>842</v>
      </c>
      <c r="G15" s="24" t="s">
        <v>843</v>
      </c>
      <c r="H15" s="24" t="s">
        <v>844</v>
      </c>
    </row>
    <row r="16" customFormat="false" ht="15" hidden="false" customHeight="false" outlineLevel="0" collapsed="false">
      <c r="A16" s="24" t="s">
        <v>845</v>
      </c>
      <c r="B16" s="24" t="s">
        <v>43</v>
      </c>
      <c r="C16" s="36" t="n">
        <v>1996</v>
      </c>
      <c r="D16" s="24" t="s">
        <v>846</v>
      </c>
      <c r="E16" s="24" t="s">
        <v>847</v>
      </c>
      <c r="F16" s="24" t="s">
        <v>669</v>
      </c>
      <c r="G16" s="24" t="s">
        <v>848</v>
      </c>
      <c r="H16" s="24" t="s">
        <v>849</v>
      </c>
    </row>
    <row r="17" customFormat="false" ht="15" hidden="false" customHeight="false" outlineLevel="0" collapsed="false">
      <c r="A17" s="24" t="s">
        <v>289</v>
      </c>
      <c r="B17" s="24" t="s">
        <v>290</v>
      </c>
      <c r="C17" s="36" t="n">
        <v>1987</v>
      </c>
      <c r="D17" s="24" t="s">
        <v>850</v>
      </c>
      <c r="E17" s="24" t="s">
        <v>851</v>
      </c>
      <c r="F17" s="24" t="s">
        <v>639</v>
      </c>
      <c r="G17" s="24" t="s">
        <v>848</v>
      </c>
      <c r="H17" s="24" t="s">
        <v>852</v>
      </c>
    </row>
    <row r="18" customFormat="false" ht="15" hidden="false" customHeight="false" outlineLevel="0" collapsed="false">
      <c r="A18" s="24" t="s">
        <v>853</v>
      </c>
      <c r="B18" s="24" t="s">
        <v>854</v>
      </c>
      <c r="C18" s="24"/>
      <c r="D18" s="24" t="s">
        <v>855</v>
      </c>
      <c r="E18" s="24" t="s">
        <v>856</v>
      </c>
      <c r="F18" s="24" t="s">
        <v>857</v>
      </c>
      <c r="G18" s="24" t="s">
        <v>858</v>
      </c>
      <c r="H18" s="24" t="s">
        <v>859</v>
      </c>
    </row>
    <row r="20" customFormat="false" ht="15" hidden="false" customHeight="false" outlineLevel="0" collapsed="false">
      <c r="A20" s="29" t="s">
        <v>860</v>
      </c>
    </row>
    <row r="21" customFormat="false" ht="15" hidden="false" customHeight="false" outlineLevel="0" collapsed="false">
      <c r="A21" s="30" t="s">
        <v>861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4"/>
    <col collapsed="false" customWidth="true" hidden="false" outlineLevel="0" max="2" min="2" style="0" width="30"/>
    <col collapsed="false" customWidth="true" hidden="false" outlineLevel="0" max="3" min="3" style="0" width="64"/>
  </cols>
  <sheetData>
    <row r="1" customFormat="false" ht="15" hidden="false" customHeight="false" outlineLevel="0" collapsed="false">
      <c r="A1" s="35" t="s">
        <v>1</v>
      </c>
      <c r="B1" s="35" t="s">
        <v>862</v>
      </c>
      <c r="C1" s="35" t="s">
        <v>863</v>
      </c>
    </row>
    <row r="2" customFormat="false" ht="23.85" hidden="false" customHeight="false" outlineLevel="0" collapsed="false">
      <c r="A2" s="24" t="s">
        <v>864</v>
      </c>
      <c r="B2" s="24" t="s">
        <v>865</v>
      </c>
      <c r="C2" s="24" t="s">
        <v>866</v>
      </c>
    </row>
    <row r="3" customFormat="false" ht="23.85" hidden="false" customHeight="false" outlineLevel="0" collapsed="false">
      <c r="A3" s="24" t="s">
        <v>867</v>
      </c>
      <c r="B3" s="24" t="s">
        <v>868</v>
      </c>
      <c r="C3" s="24" t="s">
        <v>869</v>
      </c>
    </row>
    <row r="4" customFormat="false" ht="23.85" hidden="false" customHeight="false" outlineLevel="0" collapsed="false">
      <c r="A4" s="24" t="s">
        <v>870</v>
      </c>
      <c r="B4" s="24" t="s">
        <v>74</v>
      </c>
      <c r="C4" s="24" t="s">
        <v>871</v>
      </c>
    </row>
    <row r="5" customFormat="false" ht="15" hidden="false" customHeight="false" outlineLevel="0" collapsed="false">
      <c r="A5" s="24" t="s">
        <v>872</v>
      </c>
      <c r="B5" s="24" t="s">
        <v>873</v>
      </c>
      <c r="C5" s="24" t="s">
        <v>874</v>
      </c>
    </row>
    <row r="6" customFormat="false" ht="15" hidden="false" customHeight="false" outlineLevel="0" collapsed="false">
      <c r="A6" s="24" t="s">
        <v>875</v>
      </c>
      <c r="B6" s="24" t="s">
        <v>876</v>
      </c>
      <c r="C6" s="24" t="s">
        <v>877</v>
      </c>
    </row>
    <row r="7" customFormat="false" ht="23.85" hidden="false" customHeight="false" outlineLevel="0" collapsed="false">
      <c r="A7" s="24" t="s">
        <v>878</v>
      </c>
      <c r="B7" s="24" t="s">
        <v>879</v>
      </c>
      <c r="C7" s="24" t="s">
        <v>880</v>
      </c>
    </row>
    <row r="8" customFormat="false" ht="15" hidden="false" customHeight="false" outlineLevel="0" collapsed="false">
      <c r="A8" s="24" t="s">
        <v>710</v>
      </c>
      <c r="B8" s="24" t="s">
        <v>881</v>
      </c>
      <c r="C8" s="24" t="s">
        <v>882</v>
      </c>
    </row>
    <row r="9" customFormat="false" ht="15" hidden="false" customHeight="false" outlineLevel="0" collapsed="false">
      <c r="A9" s="24" t="s">
        <v>883</v>
      </c>
      <c r="B9" s="24" t="s">
        <v>884</v>
      </c>
      <c r="C9" s="24" t="s">
        <v>885</v>
      </c>
    </row>
    <row r="10" customFormat="false" ht="15" hidden="false" customHeight="false" outlineLevel="0" collapsed="false">
      <c r="A10" s="24" t="s">
        <v>886</v>
      </c>
      <c r="B10" s="24" t="s">
        <v>887</v>
      </c>
      <c r="C10" s="24" t="s">
        <v>888</v>
      </c>
    </row>
    <row r="11" customFormat="false" ht="15" hidden="false" customHeight="false" outlineLevel="0" collapsed="false">
      <c r="A11" s="24" t="s">
        <v>889</v>
      </c>
      <c r="B11" s="24" t="s">
        <v>890</v>
      </c>
      <c r="C11" s="24" t="s">
        <v>891</v>
      </c>
    </row>
    <row r="12" customFormat="false" ht="15" hidden="false" customHeight="false" outlineLevel="0" collapsed="false">
      <c r="A12" s="24" t="s">
        <v>892</v>
      </c>
      <c r="B12" s="24" t="s">
        <v>893</v>
      </c>
      <c r="C12" s="24" t="s">
        <v>894</v>
      </c>
    </row>
    <row r="13" customFormat="false" ht="15" hidden="false" customHeight="false" outlineLevel="0" collapsed="false">
      <c r="A13" s="24" t="s">
        <v>895</v>
      </c>
      <c r="B13" s="24" t="s">
        <v>896</v>
      </c>
      <c r="C13" s="24" t="s">
        <v>897</v>
      </c>
    </row>
    <row r="14" customFormat="false" ht="15" hidden="false" customHeight="false" outlineLevel="0" collapsed="false">
      <c r="A14" s="24" t="s">
        <v>898</v>
      </c>
      <c r="B14" s="24" t="s">
        <v>899</v>
      </c>
      <c r="C14" s="24" t="s">
        <v>900</v>
      </c>
    </row>
    <row r="15" customFormat="false" ht="15" hidden="false" customHeight="false" outlineLevel="0" collapsed="false">
      <c r="A15" s="24" t="s">
        <v>799</v>
      </c>
      <c r="B15" s="24" t="s">
        <v>800</v>
      </c>
      <c r="C15" s="24" t="s">
        <v>901</v>
      </c>
    </row>
    <row r="16" customFormat="false" ht="15" hidden="false" customHeight="false" outlineLevel="0" collapsed="false">
      <c r="A16" s="24" t="s">
        <v>902</v>
      </c>
      <c r="B16" s="24" t="s">
        <v>903</v>
      </c>
      <c r="C16" s="24" t="s">
        <v>904</v>
      </c>
    </row>
    <row r="17" customFormat="false" ht="15" hidden="false" customHeight="false" outlineLevel="0" collapsed="false">
      <c r="A17" s="24" t="s">
        <v>905</v>
      </c>
      <c r="B17" s="24" t="s">
        <v>906</v>
      </c>
      <c r="C17" s="24" t="s">
        <v>907</v>
      </c>
    </row>
    <row r="18" customFormat="false" ht="15" hidden="false" customHeight="false" outlineLevel="0" collapsed="false">
      <c r="A18" s="24" t="s">
        <v>908</v>
      </c>
      <c r="B18" s="24" t="s">
        <v>909</v>
      </c>
      <c r="C18" s="24" t="s">
        <v>910</v>
      </c>
    </row>
    <row r="19" customFormat="false" ht="15" hidden="false" customHeight="false" outlineLevel="0" collapsed="false">
      <c r="A19" s="24" t="s">
        <v>911</v>
      </c>
      <c r="B19" s="24" t="s">
        <v>800</v>
      </c>
      <c r="C19" s="24" t="s">
        <v>912</v>
      </c>
    </row>
    <row r="20" customFormat="false" ht="15" hidden="false" customHeight="false" outlineLevel="0" collapsed="false">
      <c r="A20" s="24" t="s">
        <v>913</v>
      </c>
      <c r="B20" s="24" t="s">
        <v>305</v>
      </c>
      <c r="C20" s="24" t="s">
        <v>914</v>
      </c>
    </row>
    <row r="21" customFormat="false" ht="23.85" hidden="false" customHeight="false" outlineLevel="0" collapsed="false">
      <c r="A21" s="24" t="s">
        <v>915</v>
      </c>
      <c r="B21" s="24" t="s">
        <v>916</v>
      </c>
      <c r="C21" s="24" t="s">
        <v>917</v>
      </c>
    </row>
    <row r="22" customFormat="false" ht="15" hidden="false" customHeight="false" outlineLevel="0" collapsed="false">
      <c r="A22" s="24" t="s">
        <v>918</v>
      </c>
      <c r="B22" s="24" t="s">
        <v>919</v>
      </c>
      <c r="C22" s="24" t="s">
        <v>920</v>
      </c>
    </row>
    <row r="23" customFormat="false" ht="15" hidden="false" customHeight="false" outlineLevel="0" collapsed="false">
      <c r="A23" s="24" t="s">
        <v>921</v>
      </c>
      <c r="B23" s="24" t="s">
        <v>922</v>
      </c>
      <c r="C23" s="24" t="s">
        <v>923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30"/>
    <col collapsed="false" customWidth="true" hidden="false" outlineLevel="0" max="2" min="2" style="0" width="14"/>
  </cols>
  <sheetData>
    <row r="1" customFormat="false" ht="15" hidden="false" customHeight="false" outlineLevel="0" collapsed="false">
      <c r="A1" s="37" t="s">
        <v>924</v>
      </c>
    </row>
    <row r="2" customFormat="false" ht="15" hidden="false" customHeight="false" outlineLevel="0" collapsed="false">
      <c r="A2" s="38" t="s">
        <v>925</v>
      </c>
      <c r="B2" s="39" t="n">
        <v>2026</v>
      </c>
    </row>
    <row r="3" customFormat="false" ht="15" hidden="false" customHeight="false" outlineLevel="0" collapsed="false">
      <c r="A3" s="38" t="s">
        <v>926</v>
      </c>
      <c r="B3" s="40" t="n">
        <v>150000</v>
      </c>
    </row>
    <row r="4" customFormat="false" ht="15" hidden="false" customHeight="false" outlineLevel="0" collapsed="false">
      <c r="A4" s="38" t="s">
        <v>927</v>
      </c>
      <c r="B4" s="40" t="n">
        <v>200000</v>
      </c>
    </row>
    <row r="5" customFormat="false" ht="15" hidden="false" customHeight="false" outlineLevel="0" collapsed="false">
      <c r="A5" s="38" t="s">
        <v>928</v>
      </c>
    </row>
    <row r="6" customFormat="false" ht="15" hidden="false" customHeight="false" outlineLevel="0" collapsed="false">
      <c r="A6" s="38" t="s">
        <v>929</v>
      </c>
      <c r="B6" s="41" t="n">
        <v>0.15</v>
      </c>
    </row>
    <row r="7" customFormat="false" ht="15" hidden="false" customHeight="false" outlineLevel="0" collapsed="false">
      <c r="A7" s="38" t="s">
        <v>930</v>
      </c>
      <c r="B7" s="42" t="n">
        <v>4</v>
      </c>
    </row>
    <row r="8" customFormat="false" ht="15" hidden="false" customHeight="false" outlineLevel="0" collapsed="false">
      <c r="A8" s="38" t="s">
        <v>931</v>
      </c>
      <c r="B8" s="42" t="n">
        <v>7</v>
      </c>
    </row>
    <row r="9" customFormat="false" ht="35.05" hidden="false" customHeight="false" outlineLevel="0" collapsed="false">
      <c r="A9" s="38" t="s">
        <v>932</v>
      </c>
    </row>
    <row r="11" customFormat="false" ht="15" hidden="false" customHeight="false" outlineLevel="0" collapsed="false">
      <c r="A11" s="38"/>
    </row>
    <row r="12" customFormat="false" ht="15" hidden="false" customHeight="false" outlineLevel="0" collapsed="false">
      <c r="A12" s="37" t="s">
        <v>933</v>
      </c>
    </row>
    <row r="13" customFormat="false" ht="23.85" hidden="false" customHeight="false" outlineLevel="0" collapsed="false">
      <c r="A13" s="38" t="s">
        <v>934</v>
      </c>
    </row>
    <row r="14" customFormat="false" ht="23.85" hidden="false" customHeight="false" outlineLevel="0" collapsed="false">
      <c r="A14" s="38" t="s">
        <v>935</v>
      </c>
    </row>
    <row r="15" customFormat="false" ht="23.85" hidden="false" customHeight="false" outlineLevel="0" collapsed="false">
      <c r="A15" s="38" t="s">
        <v>936</v>
      </c>
    </row>
    <row r="16" customFormat="false" ht="23.85" hidden="false" customHeight="false" outlineLevel="0" collapsed="false">
      <c r="A16" s="38" t="s">
        <v>937</v>
      </c>
    </row>
    <row r="17" customFormat="false" ht="23.85" hidden="false" customHeight="false" outlineLevel="0" collapsed="false">
      <c r="A17" s="38" t="s">
        <v>938</v>
      </c>
    </row>
    <row r="18" customFormat="false" ht="15" hidden="false" customHeight="false" outlineLevel="0" collapsed="false">
      <c r="A18" s="38"/>
    </row>
    <row r="19" customFormat="false" ht="15" hidden="false" customHeight="false" outlineLevel="0" collapsed="false">
      <c r="A19" s="37" t="s">
        <v>939</v>
      </c>
    </row>
    <row r="20" customFormat="false" ht="15" hidden="false" customHeight="false" outlineLevel="0" collapsed="false">
      <c r="A20" s="38" t="s">
        <v>940</v>
      </c>
    </row>
    <row r="21" customFormat="false" ht="15" hidden="false" customHeight="false" outlineLevel="0" collapsed="false">
      <c r="A21" s="38" t="s">
        <v>941</v>
      </c>
    </row>
    <row r="22" customFormat="false" ht="23.85" hidden="false" customHeight="false" outlineLevel="0" collapsed="false">
      <c r="A22" s="38" t="s">
        <v>942</v>
      </c>
    </row>
    <row r="23" customFormat="false" ht="15" hidden="false" customHeight="false" outlineLevel="0" collapsed="false">
      <c r="A23" s="38" t="s">
        <v>943</v>
      </c>
    </row>
    <row r="24" customFormat="false" ht="15" hidden="false" customHeight="false" outlineLevel="0" collapsed="false">
      <c r="A24" s="38"/>
    </row>
    <row r="25" customFormat="false" ht="15" hidden="false" customHeight="false" outlineLevel="0" collapsed="false">
      <c r="A25" s="37" t="s">
        <v>944</v>
      </c>
    </row>
    <row r="26" customFormat="false" ht="15" hidden="false" customHeight="false" outlineLevel="0" collapsed="false">
      <c r="A26" s="38" t="s">
        <v>945</v>
      </c>
    </row>
    <row r="27" customFormat="false" ht="15" hidden="false" customHeight="false" outlineLevel="0" collapsed="false">
      <c r="A27" s="38" t="s">
        <v>946</v>
      </c>
    </row>
    <row r="28" customFormat="false" ht="15" hidden="false" customHeight="false" outlineLevel="0" collapsed="false">
      <c r="A28" s="38" t="s">
        <v>947</v>
      </c>
    </row>
    <row r="29" customFormat="false" ht="23.85" hidden="false" customHeight="false" outlineLevel="0" collapsed="false">
      <c r="A29" s="38" t="s">
        <v>948</v>
      </c>
    </row>
    <row r="30" customFormat="false" ht="15" hidden="false" customHeight="false" outlineLevel="0" collapsed="false">
      <c r="A30" s="38" t="s">
        <v>949</v>
      </c>
    </row>
    <row r="31" customFormat="false" ht="15" hidden="false" customHeight="false" outlineLevel="0" collapsed="false">
      <c r="A31" s="38"/>
    </row>
    <row r="32" customFormat="false" ht="15" hidden="false" customHeight="false" outlineLevel="0" collapsed="false">
      <c r="A32" s="37" t="s">
        <v>950</v>
      </c>
    </row>
    <row r="33" customFormat="false" ht="35.05" hidden="false" customHeight="false" outlineLevel="0" collapsed="false">
      <c r="A33" s="38" t="s">
        <v>951</v>
      </c>
    </row>
    <row r="34" customFormat="false" ht="15" hidden="false" customHeight="false" outlineLevel="0" collapsed="false">
      <c r="A34" s="38" t="s">
        <v>952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2026-08-07T06:27:56Z</dcterms:created>
  <dc:creator>openpyxl</dc:creator>
  <dc:description/>
  <dc:language>en-US</dc:language>
  <cp:lastModifiedBy/>
  <dcterms:modified xsi:type="dcterms:W3CDTF">2026-08-07T06:27:56Z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